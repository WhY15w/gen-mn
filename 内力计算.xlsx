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4"/>
  <workbookPr/>
  <mc:AlternateContent xmlns:mc="http://schemas.openxmlformats.org/markup-compatibility/2006">
    <mc:Choice Requires="x15">
      <x15ac:absPath xmlns:x15ac="http://schemas.microsoft.com/office/spreadsheetml/2010/11/ac" url="D:\课程相关\毕业设计\中期报告\final\"/>
    </mc:Choice>
  </mc:AlternateContent>
  <xr:revisionPtr revIDLastSave="0" documentId="13_ncr:1_{4B2C0F04-69B1-4AA9-B364-5CB74163A63A}" xr6:coauthVersionLast="47" xr6:coauthVersionMax="47" xr10:uidLastSave="{00000000-0000-0000-0000-000000000000}"/>
  <bookViews>
    <workbookView xWindow="-108" yWindow="-108" windowWidth="23256" windowHeight="12456" activeTab="3" xr2:uid="{00000000-000D-0000-FFFF-FFFF00000000}"/>
  </bookViews>
  <sheets>
    <sheet name="Sheet1" sheetId="1" r:id="rId1"/>
    <sheet name="Sheet2" sheetId="3" r:id="rId2"/>
    <sheet name="Sheet3" sheetId="4" r:id="rId3"/>
    <sheet name="Sheet4" sheetId="5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H43" i="5" l="1"/>
  <c r="H42" i="5"/>
  <c r="X40" i="5"/>
  <c r="W40" i="5"/>
  <c r="V40" i="5"/>
  <c r="U40" i="5"/>
  <c r="T40" i="5"/>
  <c r="P40" i="5"/>
  <c r="O40" i="5"/>
  <c r="N40" i="5"/>
  <c r="M40" i="5"/>
  <c r="L40" i="5"/>
  <c r="K40" i="5"/>
  <c r="G40" i="5"/>
  <c r="H40" i="5" s="1"/>
  <c r="F40" i="5"/>
  <c r="E40" i="5"/>
  <c r="D40" i="5"/>
  <c r="C40" i="5"/>
  <c r="B40" i="5"/>
  <c r="X39" i="5"/>
  <c r="W39" i="5"/>
  <c r="V39" i="5"/>
  <c r="U39" i="5"/>
  <c r="T39" i="5"/>
  <c r="P39" i="5"/>
  <c r="O39" i="5"/>
  <c r="N39" i="5"/>
  <c r="M39" i="5"/>
  <c r="L39" i="5"/>
  <c r="Q39" i="5" s="1"/>
  <c r="K39" i="5"/>
  <c r="G39" i="5"/>
  <c r="F39" i="5"/>
  <c r="E39" i="5"/>
  <c r="D39" i="5"/>
  <c r="C39" i="5"/>
  <c r="B39" i="5"/>
  <c r="X38" i="5"/>
  <c r="W38" i="5"/>
  <c r="V38" i="5"/>
  <c r="U38" i="5"/>
  <c r="T38" i="5"/>
  <c r="P38" i="5"/>
  <c r="O38" i="5"/>
  <c r="N38" i="5"/>
  <c r="M38" i="5"/>
  <c r="L38" i="5"/>
  <c r="K38" i="5"/>
  <c r="G38" i="5"/>
  <c r="F38" i="5"/>
  <c r="E38" i="5"/>
  <c r="D38" i="5"/>
  <c r="C38" i="5"/>
  <c r="B38" i="5"/>
  <c r="X37" i="5"/>
  <c r="W37" i="5"/>
  <c r="V37" i="5"/>
  <c r="U37" i="5"/>
  <c r="T37" i="5"/>
  <c r="P37" i="5"/>
  <c r="O37" i="5"/>
  <c r="N37" i="5"/>
  <c r="M37" i="5"/>
  <c r="L37" i="5"/>
  <c r="K37" i="5"/>
  <c r="G37" i="5"/>
  <c r="F37" i="5"/>
  <c r="E37" i="5"/>
  <c r="D37" i="5"/>
  <c r="C37" i="5"/>
  <c r="B37" i="5"/>
  <c r="X36" i="5"/>
  <c r="W36" i="5"/>
  <c r="V36" i="5"/>
  <c r="U36" i="5"/>
  <c r="T36" i="5"/>
  <c r="Y36" i="5" s="1"/>
  <c r="P36" i="5"/>
  <c r="O36" i="5"/>
  <c r="N36" i="5"/>
  <c r="M36" i="5"/>
  <c r="L36" i="5"/>
  <c r="K36" i="5"/>
  <c r="G36" i="5"/>
  <c r="F36" i="5"/>
  <c r="E36" i="5"/>
  <c r="D36" i="5"/>
  <c r="C36" i="5"/>
  <c r="B36" i="5"/>
  <c r="X35" i="5"/>
  <c r="W35" i="5"/>
  <c r="V35" i="5"/>
  <c r="U35" i="5"/>
  <c r="T35" i="5"/>
  <c r="P35" i="5"/>
  <c r="O35" i="5"/>
  <c r="N35" i="5"/>
  <c r="M35" i="5"/>
  <c r="L35" i="5"/>
  <c r="Q35" i="5" s="1"/>
  <c r="K35" i="5"/>
  <c r="G35" i="5"/>
  <c r="F35" i="5"/>
  <c r="E35" i="5"/>
  <c r="D35" i="5"/>
  <c r="C35" i="5"/>
  <c r="B35" i="5"/>
  <c r="X34" i="5"/>
  <c r="W34" i="5"/>
  <c r="V34" i="5"/>
  <c r="U34" i="5"/>
  <c r="T34" i="5"/>
  <c r="Y34" i="5" s="1"/>
  <c r="P34" i="5"/>
  <c r="O34" i="5"/>
  <c r="N34" i="5"/>
  <c r="M34" i="5"/>
  <c r="L34" i="5"/>
  <c r="K34" i="5"/>
  <c r="G34" i="5"/>
  <c r="H34" i="5" s="1"/>
  <c r="F34" i="5"/>
  <c r="E34" i="5"/>
  <c r="D34" i="5"/>
  <c r="C34" i="5"/>
  <c r="B34" i="5"/>
  <c r="X33" i="5"/>
  <c r="W33" i="5"/>
  <c r="V33" i="5"/>
  <c r="Y33" i="5" s="1"/>
  <c r="U33" i="5"/>
  <c r="T33" i="5"/>
  <c r="P33" i="5"/>
  <c r="O33" i="5"/>
  <c r="N33" i="5"/>
  <c r="M33" i="5"/>
  <c r="L33" i="5"/>
  <c r="K33" i="5"/>
  <c r="G33" i="5"/>
  <c r="F33" i="5"/>
  <c r="E33" i="5"/>
  <c r="D33" i="5"/>
  <c r="C33" i="5"/>
  <c r="B33" i="5"/>
  <c r="X32" i="5"/>
  <c r="W32" i="5"/>
  <c r="V32" i="5"/>
  <c r="U32" i="5"/>
  <c r="T32" i="5"/>
  <c r="P32" i="5"/>
  <c r="O32" i="5"/>
  <c r="N32" i="5"/>
  <c r="M32" i="5"/>
  <c r="L32" i="5"/>
  <c r="K32" i="5"/>
  <c r="G32" i="5"/>
  <c r="F32" i="5"/>
  <c r="E32" i="5"/>
  <c r="D32" i="5"/>
  <c r="C32" i="5"/>
  <c r="B32" i="5"/>
  <c r="X31" i="5"/>
  <c r="W31" i="5"/>
  <c r="V31" i="5"/>
  <c r="U31" i="5"/>
  <c r="T31" i="5"/>
  <c r="P31" i="5"/>
  <c r="O31" i="5"/>
  <c r="N31" i="5"/>
  <c r="M31" i="5"/>
  <c r="L31" i="5"/>
  <c r="K31" i="5"/>
  <c r="G31" i="5"/>
  <c r="F31" i="5"/>
  <c r="E31" i="5"/>
  <c r="D31" i="5"/>
  <c r="C31" i="5"/>
  <c r="B31" i="5"/>
  <c r="X30" i="5"/>
  <c r="W30" i="5"/>
  <c r="V30" i="5"/>
  <c r="U30" i="5"/>
  <c r="T30" i="5"/>
  <c r="P30" i="5"/>
  <c r="O30" i="5"/>
  <c r="N30" i="5"/>
  <c r="M30" i="5"/>
  <c r="L30" i="5"/>
  <c r="K30" i="5"/>
  <c r="G30" i="5"/>
  <c r="F30" i="5"/>
  <c r="E30" i="5"/>
  <c r="D30" i="5"/>
  <c r="C30" i="5"/>
  <c r="B30" i="5"/>
  <c r="X29" i="5"/>
  <c r="W29" i="5"/>
  <c r="V29" i="5"/>
  <c r="Y29" i="5" s="1"/>
  <c r="U29" i="5"/>
  <c r="T29" i="5"/>
  <c r="P29" i="5"/>
  <c r="O29" i="5"/>
  <c r="N29" i="5"/>
  <c r="M29" i="5"/>
  <c r="L29" i="5"/>
  <c r="Q29" i="5" s="1"/>
  <c r="K29" i="5"/>
  <c r="G29" i="5"/>
  <c r="F29" i="5"/>
  <c r="E29" i="5"/>
  <c r="D29" i="5"/>
  <c r="C29" i="5"/>
  <c r="B29" i="5"/>
  <c r="X28" i="5"/>
  <c r="W28" i="5"/>
  <c r="V28" i="5"/>
  <c r="U28" i="5"/>
  <c r="T28" i="5"/>
  <c r="P28" i="5"/>
  <c r="O28" i="5"/>
  <c r="N28" i="5"/>
  <c r="M28" i="5"/>
  <c r="L28" i="5"/>
  <c r="K28" i="5"/>
  <c r="G28" i="5"/>
  <c r="F28" i="5"/>
  <c r="E28" i="5"/>
  <c r="D28" i="5"/>
  <c r="C28" i="5"/>
  <c r="B28" i="5"/>
  <c r="X27" i="5"/>
  <c r="W27" i="5"/>
  <c r="V27" i="5"/>
  <c r="U27" i="5"/>
  <c r="T27" i="5"/>
  <c r="P27" i="5"/>
  <c r="O27" i="5"/>
  <c r="N27" i="5"/>
  <c r="M27" i="5"/>
  <c r="L27" i="5"/>
  <c r="Q27" i="5" s="1"/>
  <c r="K27" i="5"/>
  <c r="G27" i="5"/>
  <c r="F27" i="5"/>
  <c r="E27" i="5"/>
  <c r="D27" i="5"/>
  <c r="C27" i="5"/>
  <c r="B27" i="5"/>
  <c r="X26" i="5"/>
  <c r="W26" i="5"/>
  <c r="V26" i="5"/>
  <c r="U26" i="5"/>
  <c r="T26" i="5"/>
  <c r="P26" i="5"/>
  <c r="O26" i="5"/>
  <c r="N26" i="5"/>
  <c r="M26" i="5"/>
  <c r="L26" i="5"/>
  <c r="K26" i="5"/>
  <c r="G26" i="5"/>
  <c r="F26" i="5"/>
  <c r="E26" i="5"/>
  <c r="D26" i="5"/>
  <c r="C26" i="5"/>
  <c r="B26" i="5"/>
  <c r="X25" i="5"/>
  <c r="W25" i="5"/>
  <c r="V25" i="5"/>
  <c r="U25" i="5"/>
  <c r="T25" i="5"/>
  <c r="P25" i="5"/>
  <c r="O25" i="5"/>
  <c r="N25" i="5"/>
  <c r="M25" i="5"/>
  <c r="L25" i="5"/>
  <c r="K25" i="5"/>
  <c r="G25" i="5"/>
  <c r="F25" i="5"/>
  <c r="E25" i="5"/>
  <c r="D25" i="5"/>
  <c r="C25" i="5"/>
  <c r="B25" i="5"/>
  <c r="X24" i="5"/>
  <c r="W24" i="5"/>
  <c r="V24" i="5"/>
  <c r="U24" i="5"/>
  <c r="T24" i="5"/>
  <c r="P24" i="5"/>
  <c r="O24" i="5"/>
  <c r="N24" i="5"/>
  <c r="M24" i="5"/>
  <c r="L24" i="5"/>
  <c r="K24" i="5"/>
  <c r="G24" i="5"/>
  <c r="F24" i="5"/>
  <c r="E24" i="5"/>
  <c r="D24" i="5"/>
  <c r="C24" i="5"/>
  <c r="B24" i="5"/>
  <c r="X23" i="5"/>
  <c r="W23" i="5"/>
  <c r="V23" i="5"/>
  <c r="U23" i="5"/>
  <c r="T23" i="5"/>
  <c r="P23" i="5"/>
  <c r="O23" i="5"/>
  <c r="N23" i="5"/>
  <c r="M23" i="5"/>
  <c r="L23" i="5"/>
  <c r="K23" i="5"/>
  <c r="G23" i="5"/>
  <c r="F23" i="5"/>
  <c r="E23" i="5"/>
  <c r="D23" i="5"/>
  <c r="C23" i="5"/>
  <c r="B23" i="5"/>
  <c r="X22" i="5"/>
  <c r="W22" i="5"/>
  <c r="V22" i="5"/>
  <c r="U22" i="5"/>
  <c r="T22" i="5"/>
  <c r="Y22" i="5" s="1"/>
  <c r="P22" i="5"/>
  <c r="O22" i="5"/>
  <c r="N22" i="5"/>
  <c r="M22" i="5"/>
  <c r="L22" i="5"/>
  <c r="K22" i="5"/>
  <c r="G22" i="5"/>
  <c r="F22" i="5"/>
  <c r="E22" i="5"/>
  <c r="D22" i="5"/>
  <c r="C22" i="5"/>
  <c r="B22" i="5"/>
  <c r="X21" i="5"/>
  <c r="W21" i="5"/>
  <c r="V21" i="5"/>
  <c r="U21" i="5"/>
  <c r="T21" i="5"/>
  <c r="P21" i="5"/>
  <c r="O21" i="5"/>
  <c r="N21" i="5"/>
  <c r="M21" i="5"/>
  <c r="L21" i="5"/>
  <c r="K21" i="5"/>
  <c r="G21" i="5"/>
  <c r="F21" i="5"/>
  <c r="E21" i="5"/>
  <c r="D21" i="5"/>
  <c r="C21" i="5"/>
  <c r="B21" i="5"/>
  <c r="X20" i="5"/>
  <c r="W20" i="5"/>
  <c r="V20" i="5"/>
  <c r="U20" i="5"/>
  <c r="T20" i="5"/>
  <c r="P20" i="5"/>
  <c r="O20" i="5"/>
  <c r="N20" i="5"/>
  <c r="M20" i="5"/>
  <c r="L20" i="5"/>
  <c r="K20" i="5"/>
  <c r="G20" i="5"/>
  <c r="F20" i="5"/>
  <c r="E20" i="5"/>
  <c r="D20" i="5"/>
  <c r="C20" i="5"/>
  <c r="B20" i="5"/>
  <c r="X19" i="5"/>
  <c r="W19" i="5"/>
  <c r="V19" i="5"/>
  <c r="U19" i="5"/>
  <c r="T19" i="5"/>
  <c r="P19" i="5"/>
  <c r="O19" i="5"/>
  <c r="N19" i="5"/>
  <c r="M19" i="5"/>
  <c r="L19" i="5"/>
  <c r="Q19" i="5" s="1"/>
  <c r="K19" i="5"/>
  <c r="G19" i="5"/>
  <c r="F19" i="5"/>
  <c r="E19" i="5"/>
  <c r="D19" i="5"/>
  <c r="C19" i="5"/>
  <c r="B19" i="5"/>
  <c r="X18" i="5"/>
  <c r="W18" i="5"/>
  <c r="V18" i="5"/>
  <c r="U18" i="5"/>
  <c r="T18" i="5"/>
  <c r="P18" i="5"/>
  <c r="O18" i="5"/>
  <c r="N18" i="5"/>
  <c r="M18" i="5"/>
  <c r="L18" i="5"/>
  <c r="K18" i="5"/>
  <c r="G18" i="5"/>
  <c r="F18" i="5"/>
  <c r="H18" i="5" s="1"/>
  <c r="E18" i="5"/>
  <c r="D18" i="5"/>
  <c r="C18" i="5"/>
  <c r="B18" i="5"/>
  <c r="X17" i="5"/>
  <c r="W17" i="5"/>
  <c r="V17" i="5"/>
  <c r="U17" i="5"/>
  <c r="T17" i="5"/>
  <c r="P17" i="5"/>
  <c r="O17" i="5"/>
  <c r="N17" i="5"/>
  <c r="M17" i="5"/>
  <c r="L17" i="5"/>
  <c r="K17" i="5"/>
  <c r="G17" i="5"/>
  <c r="F17" i="5"/>
  <c r="E17" i="5"/>
  <c r="D17" i="5"/>
  <c r="C17" i="5"/>
  <c r="B17" i="5"/>
  <c r="X16" i="5"/>
  <c r="W16" i="5"/>
  <c r="V16" i="5"/>
  <c r="U16" i="5"/>
  <c r="T16" i="5"/>
  <c r="P16" i="5"/>
  <c r="O16" i="5"/>
  <c r="N16" i="5"/>
  <c r="M16" i="5"/>
  <c r="L16" i="5"/>
  <c r="K16" i="5"/>
  <c r="G16" i="5"/>
  <c r="F16" i="5"/>
  <c r="E16" i="5"/>
  <c r="D16" i="5"/>
  <c r="C16" i="5"/>
  <c r="B16" i="5"/>
  <c r="X15" i="5"/>
  <c r="W15" i="5"/>
  <c r="V15" i="5"/>
  <c r="U15" i="5"/>
  <c r="T15" i="5"/>
  <c r="P15" i="5"/>
  <c r="O15" i="5"/>
  <c r="N15" i="5"/>
  <c r="M15" i="5"/>
  <c r="L15" i="5"/>
  <c r="K15" i="5"/>
  <c r="G15" i="5"/>
  <c r="F15" i="5"/>
  <c r="E15" i="5"/>
  <c r="D15" i="5"/>
  <c r="C15" i="5"/>
  <c r="B15" i="5"/>
  <c r="X14" i="5"/>
  <c r="W14" i="5"/>
  <c r="V14" i="5"/>
  <c r="U14" i="5"/>
  <c r="T14" i="5"/>
  <c r="Y14" i="5" s="1"/>
  <c r="P14" i="5"/>
  <c r="O14" i="5"/>
  <c r="N14" i="5"/>
  <c r="M14" i="5"/>
  <c r="L14" i="5"/>
  <c r="K14" i="5"/>
  <c r="G14" i="5"/>
  <c r="F14" i="5"/>
  <c r="E14" i="5"/>
  <c r="D14" i="5"/>
  <c r="C14" i="5"/>
  <c r="B14" i="5"/>
  <c r="X13" i="5"/>
  <c r="W13" i="5"/>
  <c r="V13" i="5"/>
  <c r="U13" i="5"/>
  <c r="T13" i="5"/>
  <c r="P13" i="5"/>
  <c r="O13" i="5"/>
  <c r="N13" i="5"/>
  <c r="M13" i="5"/>
  <c r="L13" i="5"/>
  <c r="K13" i="5"/>
  <c r="G13" i="5"/>
  <c r="F13" i="5"/>
  <c r="E13" i="5"/>
  <c r="D13" i="5"/>
  <c r="C13" i="5"/>
  <c r="B13" i="5"/>
  <c r="X12" i="5"/>
  <c r="W12" i="5"/>
  <c r="V12" i="5"/>
  <c r="U12" i="5"/>
  <c r="T12" i="5"/>
  <c r="P12" i="5"/>
  <c r="O12" i="5"/>
  <c r="N12" i="5"/>
  <c r="M12" i="5"/>
  <c r="L12" i="5"/>
  <c r="K12" i="5"/>
  <c r="Q12" i="5" s="1"/>
  <c r="G12" i="5"/>
  <c r="F12" i="5"/>
  <c r="E12" i="5"/>
  <c r="D12" i="5"/>
  <c r="C12" i="5"/>
  <c r="B12" i="5"/>
  <c r="X11" i="5"/>
  <c r="W11" i="5"/>
  <c r="V11" i="5"/>
  <c r="U11" i="5"/>
  <c r="T11" i="5"/>
  <c r="P11" i="5"/>
  <c r="O11" i="5"/>
  <c r="N11" i="5"/>
  <c r="M11" i="5"/>
  <c r="L11" i="5"/>
  <c r="Q11" i="5" s="1"/>
  <c r="K11" i="5"/>
  <c r="G11" i="5"/>
  <c r="F11" i="5"/>
  <c r="E11" i="5"/>
  <c r="D11" i="5"/>
  <c r="C11" i="5"/>
  <c r="B11" i="5"/>
  <c r="X10" i="5"/>
  <c r="W10" i="5"/>
  <c r="V10" i="5"/>
  <c r="U10" i="5"/>
  <c r="T10" i="5"/>
  <c r="P10" i="5"/>
  <c r="O10" i="5"/>
  <c r="N10" i="5"/>
  <c r="M10" i="5"/>
  <c r="L10" i="5"/>
  <c r="K10" i="5"/>
  <c r="G10" i="5"/>
  <c r="F10" i="5"/>
  <c r="H10" i="5" s="1"/>
  <c r="E10" i="5"/>
  <c r="D10" i="5"/>
  <c r="C10" i="5"/>
  <c r="B10" i="5"/>
  <c r="X9" i="5"/>
  <c r="W9" i="5"/>
  <c r="V9" i="5"/>
  <c r="U9" i="5"/>
  <c r="T9" i="5"/>
  <c r="P9" i="5"/>
  <c r="O9" i="5"/>
  <c r="N9" i="5"/>
  <c r="M9" i="5"/>
  <c r="L9" i="5"/>
  <c r="K9" i="5"/>
  <c r="G9" i="5"/>
  <c r="F9" i="5"/>
  <c r="E9" i="5"/>
  <c r="D9" i="5"/>
  <c r="C9" i="5"/>
  <c r="B9" i="5"/>
  <c r="X8" i="5"/>
  <c r="W8" i="5"/>
  <c r="V8" i="5"/>
  <c r="U8" i="5"/>
  <c r="T8" i="5"/>
  <c r="P8" i="5"/>
  <c r="O8" i="5"/>
  <c r="N8" i="5"/>
  <c r="M8" i="5"/>
  <c r="L8" i="5"/>
  <c r="K8" i="5"/>
  <c r="G8" i="5"/>
  <c r="F8" i="5"/>
  <c r="E8" i="5"/>
  <c r="D8" i="5"/>
  <c r="C8" i="5"/>
  <c r="B8" i="5"/>
  <c r="X7" i="5"/>
  <c r="W7" i="5"/>
  <c r="V7" i="5"/>
  <c r="U7" i="5"/>
  <c r="T7" i="5"/>
  <c r="P7" i="5"/>
  <c r="O7" i="5"/>
  <c r="N7" i="5"/>
  <c r="M7" i="5"/>
  <c r="L7" i="5"/>
  <c r="K7" i="5"/>
  <c r="G7" i="5"/>
  <c r="F7" i="5"/>
  <c r="E7" i="5"/>
  <c r="D7" i="5"/>
  <c r="C7" i="5"/>
  <c r="B7" i="5"/>
  <c r="X6" i="5"/>
  <c r="W6" i="5"/>
  <c r="V6" i="5"/>
  <c r="U6" i="5"/>
  <c r="T6" i="5"/>
  <c r="Y6" i="5" s="1"/>
  <c r="P6" i="5"/>
  <c r="O6" i="5"/>
  <c r="N6" i="5"/>
  <c r="M6" i="5"/>
  <c r="L6" i="5"/>
  <c r="K6" i="5"/>
  <c r="G6" i="5"/>
  <c r="F6" i="5"/>
  <c r="E6" i="5"/>
  <c r="D6" i="5"/>
  <c r="C6" i="5"/>
  <c r="B6" i="5"/>
  <c r="X5" i="5"/>
  <c r="W5" i="5"/>
  <c r="V5" i="5"/>
  <c r="U5" i="5"/>
  <c r="T5" i="5"/>
  <c r="P5" i="5"/>
  <c r="O5" i="5"/>
  <c r="N5" i="5"/>
  <c r="M5" i="5"/>
  <c r="L5" i="5"/>
  <c r="K5" i="5"/>
  <c r="G5" i="5"/>
  <c r="F5" i="5"/>
  <c r="E5" i="5"/>
  <c r="D5" i="5"/>
  <c r="C5" i="5"/>
  <c r="B5" i="5"/>
  <c r="X4" i="5"/>
  <c r="W4" i="5"/>
  <c r="V4" i="5"/>
  <c r="U4" i="5"/>
  <c r="T4" i="5"/>
  <c r="P4" i="5"/>
  <c r="O4" i="5"/>
  <c r="N4" i="5"/>
  <c r="M4" i="5"/>
  <c r="L4" i="5"/>
  <c r="K4" i="5"/>
  <c r="Q4" i="5" s="1"/>
  <c r="G4" i="5"/>
  <c r="F4" i="5"/>
  <c r="E4" i="5"/>
  <c r="D4" i="5"/>
  <c r="C4" i="5"/>
  <c r="B4" i="5"/>
  <c r="Q23" i="4"/>
  <c r="H43" i="4"/>
  <c r="H42" i="4"/>
  <c r="X40" i="4"/>
  <c r="W40" i="4"/>
  <c r="V40" i="4"/>
  <c r="U40" i="4"/>
  <c r="T40" i="4"/>
  <c r="P40" i="4"/>
  <c r="O40" i="4"/>
  <c r="N40" i="4"/>
  <c r="M40" i="4"/>
  <c r="L40" i="4"/>
  <c r="K40" i="4"/>
  <c r="G40" i="4"/>
  <c r="F40" i="4"/>
  <c r="E40" i="4"/>
  <c r="D40" i="4"/>
  <c r="C40" i="4"/>
  <c r="B40" i="4"/>
  <c r="X39" i="4"/>
  <c r="W39" i="4"/>
  <c r="V39" i="4"/>
  <c r="U39" i="4"/>
  <c r="T39" i="4"/>
  <c r="P39" i="4"/>
  <c r="O39" i="4"/>
  <c r="N39" i="4"/>
  <c r="M39" i="4"/>
  <c r="L39" i="4"/>
  <c r="K39" i="4"/>
  <c r="G39" i="4"/>
  <c r="F39" i="4"/>
  <c r="E39" i="4"/>
  <c r="D39" i="4"/>
  <c r="H39" i="4" s="1"/>
  <c r="C39" i="4"/>
  <c r="B39" i="4"/>
  <c r="X38" i="4"/>
  <c r="W38" i="4"/>
  <c r="V38" i="4"/>
  <c r="U38" i="4"/>
  <c r="T38" i="4"/>
  <c r="P38" i="4"/>
  <c r="O38" i="4"/>
  <c r="N38" i="4"/>
  <c r="M38" i="4"/>
  <c r="L38" i="4"/>
  <c r="K38" i="4"/>
  <c r="G38" i="4"/>
  <c r="F38" i="4"/>
  <c r="E38" i="4"/>
  <c r="D38" i="4"/>
  <c r="C38" i="4"/>
  <c r="B38" i="4"/>
  <c r="X37" i="4"/>
  <c r="W37" i="4"/>
  <c r="V37" i="4"/>
  <c r="U37" i="4"/>
  <c r="T37" i="4"/>
  <c r="P37" i="4"/>
  <c r="O37" i="4"/>
  <c r="N37" i="4"/>
  <c r="M37" i="4"/>
  <c r="L37" i="4"/>
  <c r="K37" i="4"/>
  <c r="G37" i="4"/>
  <c r="F37" i="4"/>
  <c r="E37" i="4"/>
  <c r="D37" i="4"/>
  <c r="C37" i="4"/>
  <c r="B37" i="4"/>
  <c r="X36" i="4"/>
  <c r="W36" i="4"/>
  <c r="V36" i="4"/>
  <c r="U36" i="4"/>
  <c r="T36" i="4"/>
  <c r="P36" i="4"/>
  <c r="O36" i="4"/>
  <c r="N36" i="4"/>
  <c r="M36" i="4"/>
  <c r="L36" i="4"/>
  <c r="K36" i="4"/>
  <c r="G36" i="4"/>
  <c r="F36" i="4"/>
  <c r="E36" i="4"/>
  <c r="D36" i="4"/>
  <c r="C36" i="4"/>
  <c r="B36" i="4"/>
  <c r="X35" i="4"/>
  <c r="W35" i="4"/>
  <c r="V35" i="4"/>
  <c r="U35" i="4"/>
  <c r="T35" i="4"/>
  <c r="P35" i="4"/>
  <c r="O35" i="4"/>
  <c r="N35" i="4"/>
  <c r="M35" i="4"/>
  <c r="L35" i="4"/>
  <c r="K35" i="4"/>
  <c r="G35" i="4"/>
  <c r="F35" i="4"/>
  <c r="E35" i="4"/>
  <c r="D35" i="4"/>
  <c r="H35" i="4" s="1"/>
  <c r="C35" i="4"/>
  <c r="B35" i="4"/>
  <c r="X34" i="4"/>
  <c r="W34" i="4"/>
  <c r="V34" i="4"/>
  <c r="U34" i="4"/>
  <c r="T34" i="4"/>
  <c r="P34" i="4"/>
  <c r="O34" i="4"/>
  <c r="N34" i="4"/>
  <c r="M34" i="4"/>
  <c r="L34" i="4"/>
  <c r="K34" i="4"/>
  <c r="G34" i="4"/>
  <c r="F34" i="4"/>
  <c r="E34" i="4"/>
  <c r="D34" i="4"/>
  <c r="C34" i="4"/>
  <c r="B34" i="4"/>
  <c r="X33" i="4"/>
  <c r="W33" i="4"/>
  <c r="V33" i="4"/>
  <c r="U33" i="4"/>
  <c r="T33" i="4"/>
  <c r="P33" i="4"/>
  <c r="O33" i="4"/>
  <c r="N33" i="4"/>
  <c r="M33" i="4"/>
  <c r="L33" i="4"/>
  <c r="K33" i="4"/>
  <c r="G33" i="4"/>
  <c r="F33" i="4"/>
  <c r="E33" i="4"/>
  <c r="D33" i="4"/>
  <c r="C33" i="4"/>
  <c r="B33" i="4"/>
  <c r="X32" i="4"/>
  <c r="W32" i="4"/>
  <c r="V32" i="4"/>
  <c r="U32" i="4"/>
  <c r="T32" i="4"/>
  <c r="P32" i="4"/>
  <c r="O32" i="4"/>
  <c r="N32" i="4"/>
  <c r="M32" i="4"/>
  <c r="L32" i="4"/>
  <c r="K32" i="4"/>
  <c r="G32" i="4"/>
  <c r="F32" i="4"/>
  <c r="E32" i="4"/>
  <c r="D32" i="4"/>
  <c r="C32" i="4"/>
  <c r="B32" i="4"/>
  <c r="X31" i="4"/>
  <c r="W31" i="4"/>
  <c r="V31" i="4"/>
  <c r="U31" i="4"/>
  <c r="T31" i="4"/>
  <c r="P31" i="4"/>
  <c r="O31" i="4"/>
  <c r="N31" i="4"/>
  <c r="M31" i="4"/>
  <c r="L31" i="4"/>
  <c r="K31" i="4"/>
  <c r="G31" i="4"/>
  <c r="F31" i="4"/>
  <c r="E31" i="4"/>
  <c r="D31" i="4"/>
  <c r="C31" i="4"/>
  <c r="B31" i="4"/>
  <c r="X30" i="4"/>
  <c r="W30" i="4"/>
  <c r="V30" i="4"/>
  <c r="U30" i="4"/>
  <c r="T30" i="4"/>
  <c r="P30" i="4"/>
  <c r="O30" i="4"/>
  <c r="N30" i="4"/>
  <c r="M30" i="4"/>
  <c r="L30" i="4"/>
  <c r="K30" i="4"/>
  <c r="G30" i="4"/>
  <c r="F30" i="4"/>
  <c r="E30" i="4"/>
  <c r="D30" i="4"/>
  <c r="C30" i="4"/>
  <c r="B30" i="4"/>
  <c r="X29" i="4"/>
  <c r="W29" i="4"/>
  <c r="V29" i="4"/>
  <c r="U29" i="4"/>
  <c r="T29" i="4"/>
  <c r="P29" i="4"/>
  <c r="O29" i="4"/>
  <c r="N29" i="4"/>
  <c r="M29" i="4"/>
  <c r="L29" i="4"/>
  <c r="K29" i="4"/>
  <c r="G29" i="4"/>
  <c r="F29" i="4"/>
  <c r="E29" i="4"/>
  <c r="D29" i="4"/>
  <c r="C29" i="4"/>
  <c r="B29" i="4"/>
  <c r="X28" i="4"/>
  <c r="W28" i="4"/>
  <c r="V28" i="4"/>
  <c r="U28" i="4"/>
  <c r="T28" i="4"/>
  <c r="P28" i="4"/>
  <c r="O28" i="4"/>
  <c r="N28" i="4"/>
  <c r="M28" i="4"/>
  <c r="L28" i="4"/>
  <c r="K28" i="4"/>
  <c r="G28" i="4"/>
  <c r="F28" i="4"/>
  <c r="E28" i="4"/>
  <c r="D28" i="4"/>
  <c r="C28" i="4"/>
  <c r="B28" i="4"/>
  <c r="X27" i="4"/>
  <c r="W27" i="4"/>
  <c r="V27" i="4"/>
  <c r="U27" i="4"/>
  <c r="T27" i="4"/>
  <c r="P27" i="4"/>
  <c r="O27" i="4"/>
  <c r="N27" i="4"/>
  <c r="M27" i="4"/>
  <c r="L27" i="4"/>
  <c r="K27" i="4"/>
  <c r="G27" i="4"/>
  <c r="F27" i="4"/>
  <c r="E27" i="4"/>
  <c r="D27" i="4"/>
  <c r="H27" i="4" s="1"/>
  <c r="C27" i="4"/>
  <c r="B27" i="4"/>
  <c r="X26" i="4"/>
  <c r="W26" i="4"/>
  <c r="V26" i="4"/>
  <c r="U26" i="4"/>
  <c r="T26" i="4"/>
  <c r="P26" i="4"/>
  <c r="O26" i="4"/>
  <c r="N26" i="4"/>
  <c r="M26" i="4"/>
  <c r="L26" i="4"/>
  <c r="K26" i="4"/>
  <c r="G26" i="4"/>
  <c r="F26" i="4"/>
  <c r="E26" i="4"/>
  <c r="D26" i="4"/>
  <c r="C26" i="4"/>
  <c r="B26" i="4"/>
  <c r="X25" i="4"/>
  <c r="W25" i="4"/>
  <c r="V25" i="4"/>
  <c r="U25" i="4"/>
  <c r="T25" i="4"/>
  <c r="P25" i="4"/>
  <c r="O25" i="4"/>
  <c r="N25" i="4"/>
  <c r="M25" i="4"/>
  <c r="L25" i="4"/>
  <c r="K25" i="4"/>
  <c r="G25" i="4"/>
  <c r="F25" i="4"/>
  <c r="E25" i="4"/>
  <c r="D25" i="4"/>
  <c r="C25" i="4"/>
  <c r="B25" i="4"/>
  <c r="X24" i="4"/>
  <c r="W24" i="4"/>
  <c r="V24" i="4"/>
  <c r="U24" i="4"/>
  <c r="T24" i="4"/>
  <c r="P24" i="4"/>
  <c r="O24" i="4"/>
  <c r="N24" i="4"/>
  <c r="M24" i="4"/>
  <c r="L24" i="4"/>
  <c r="K24" i="4"/>
  <c r="G24" i="4"/>
  <c r="F24" i="4"/>
  <c r="E24" i="4"/>
  <c r="D24" i="4"/>
  <c r="C24" i="4"/>
  <c r="B24" i="4"/>
  <c r="X23" i="4"/>
  <c r="W23" i="4"/>
  <c r="V23" i="4"/>
  <c r="U23" i="4"/>
  <c r="T23" i="4"/>
  <c r="P23" i="4"/>
  <c r="O23" i="4"/>
  <c r="N23" i="4"/>
  <c r="M23" i="4"/>
  <c r="L23" i="4"/>
  <c r="K23" i="4"/>
  <c r="G23" i="4"/>
  <c r="F23" i="4"/>
  <c r="E23" i="4"/>
  <c r="D23" i="4"/>
  <c r="C23" i="4"/>
  <c r="B23" i="4"/>
  <c r="X22" i="4"/>
  <c r="W22" i="4"/>
  <c r="V22" i="4"/>
  <c r="U22" i="4"/>
  <c r="T22" i="4"/>
  <c r="P22" i="4"/>
  <c r="O22" i="4"/>
  <c r="N22" i="4"/>
  <c r="M22" i="4"/>
  <c r="L22" i="4"/>
  <c r="K22" i="4"/>
  <c r="G22" i="4"/>
  <c r="F22" i="4"/>
  <c r="H22" i="4" s="1"/>
  <c r="E22" i="4"/>
  <c r="D22" i="4"/>
  <c r="C22" i="4"/>
  <c r="B22" i="4"/>
  <c r="X21" i="4"/>
  <c r="W21" i="4"/>
  <c r="V21" i="4"/>
  <c r="U21" i="4"/>
  <c r="T21" i="4"/>
  <c r="P21" i="4"/>
  <c r="O21" i="4"/>
  <c r="N21" i="4"/>
  <c r="M21" i="4"/>
  <c r="L21" i="4"/>
  <c r="K21" i="4"/>
  <c r="G21" i="4"/>
  <c r="F21" i="4"/>
  <c r="E21" i="4"/>
  <c r="D21" i="4"/>
  <c r="C21" i="4"/>
  <c r="B21" i="4"/>
  <c r="X20" i="4"/>
  <c r="W20" i="4"/>
  <c r="V20" i="4"/>
  <c r="U20" i="4"/>
  <c r="T20" i="4"/>
  <c r="P20" i="4"/>
  <c r="O20" i="4"/>
  <c r="N20" i="4"/>
  <c r="M20" i="4"/>
  <c r="L20" i="4"/>
  <c r="K20" i="4"/>
  <c r="G20" i="4"/>
  <c r="F20" i="4"/>
  <c r="E20" i="4"/>
  <c r="D20" i="4"/>
  <c r="C20" i="4"/>
  <c r="B20" i="4"/>
  <c r="X19" i="4"/>
  <c r="W19" i="4"/>
  <c r="V19" i="4"/>
  <c r="U19" i="4"/>
  <c r="T19" i="4"/>
  <c r="P19" i="4"/>
  <c r="O19" i="4"/>
  <c r="N19" i="4"/>
  <c r="M19" i="4"/>
  <c r="L19" i="4"/>
  <c r="K19" i="4"/>
  <c r="G19" i="4"/>
  <c r="F19" i="4"/>
  <c r="E19" i="4"/>
  <c r="D19" i="4"/>
  <c r="C19" i="4"/>
  <c r="B19" i="4"/>
  <c r="X18" i="4"/>
  <c r="W18" i="4"/>
  <c r="V18" i="4"/>
  <c r="U18" i="4"/>
  <c r="T18" i="4"/>
  <c r="P18" i="4"/>
  <c r="O18" i="4"/>
  <c r="N18" i="4"/>
  <c r="M18" i="4"/>
  <c r="L18" i="4"/>
  <c r="K18" i="4"/>
  <c r="G18" i="4"/>
  <c r="F18" i="4"/>
  <c r="E18" i="4"/>
  <c r="D18" i="4"/>
  <c r="C18" i="4"/>
  <c r="B18" i="4"/>
  <c r="X17" i="4"/>
  <c r="W17" i="4"/>
  <c r="V17" i="4"/>
  <c r="U17" i="4"/>
  <c r="T17" i="4"/>
  <c r="P17" i="4"/>
  <c r="O17" i="4"/>
  <c r="N17" i="4"/>
  <c r="M17" i="4"/>
  <c r="L17" i="4"/>
  <c r="K17" i="4"/>
  <c r="G17" i="4"/>
  <c r="F17" i="4"/>
  <c r="E17" i="4"/>
  <c r="D17" i="4"/>
  <c r="C17" i="4"/>
  <c r="B17" i="4"/>
  <c r="X16" i="4"/>
  <c r="W16" i="4"/>
  <c r="V16" i="4"/>
  <c r="U16" i="4"/>
  <c r="T16" i="4"/>
  <c r="P16" i="4"/>
  <c r="O16" i="4"/>
  <c r="N16" i="4"/>
  <c r="M16" i="4"/>
  <c r="L16" i="4"/>
  <c r="K16" i="4"/>
  <c r="G16" i="4"/>
  <c r="F16" i="4"/>
  <c r="E16" i="4"/>
  <c r="D16" i="4"/>
  <c r="C16" i="4"/>
  <c r="B16" i="4"/>
  <c r="X15" i="4"/>
  <c r="W15" i="4"/>
  <c r="V15" i="4"/>
  <c r="U15" i="4"/>
  <c r="T15" i="4"/>
  <c r="P15" i="4"/>
  <c r="O15" i="4"/>
  <c r="N15" i="4"/>
  <c r="M15" i="4"/>
  <c r="L15" i="4"/>
  <c r="K15" i="4"/>
  <c r="G15" i="4"/>
  <c r="F15" i="4"/>
  <c r="E15" i="4"/>
  <c r="D15" i="4"/>
  <c r="C15" i="4"/>
  <c r="B15" i="4"/>
  <c r="X14" i="4"/>
  <c r="W14" i="4"/>
  <c r="V14" i="4"/>
  <c r="U14" i="4"/>
  <c r="T14" i="4"/>
  <c r="P14" i="4"/>
  <c r="O14" i="4"/>
  <c r="N14" i="4"/>
  <c r="M14" i="4"/>
  <c r="L14" i="4"/>
  <c r="K14" i="4"/>
  <c r="G14" i="4"/>
  <c r="F14" i="4"/>
  <c r="E14" i="4"/>
  <c r="D14" i="4"/>
  <c r="C14" i="4"/>
  <c r="B14" i="4"/>
  <c r="X13" i="4"/>
  <c r="W13" i="4"/>
  <c r="V13" i="4"/>
  <c r="U13" i="4"/>
  <c r="T13" i="4"/>
  <c r="P13" i="4"/>
  <c r="O13" i="4"/>
  <c r="N13" i="4"/>
  <c r="M13" i="4"/>
  <c r="L13" i="4"/>
  <c r="K13" i="4"/>
  <c r="G13" i="4"/>
  <c r="F13" i="4"/>
  <c r="E13" i="4"/>
  <c r="D13" i="4"/>
  <c r="C13" i="4"/>
  <c r="B13" i="4"/>
  <c r="X12" i="4"/>
  <c r="W12" i="4"/>
  <c r="V12" i="4"/>
  <c r="U12" i="4"/>
  <c r="T12" i="4"/>
  <c r="P12" i="4"/>
  <c r="O12" i="4"/>
  <c r="N12" i="4"/>
  <c r="M12" i="4"/>
  <c r="L12" i="4"/>
  <c r="K12" i="4"/>
  <c r="G12" i="4"/>
  <c r="F12" i="4"/>
  <c r="E12" i="4"/>
  <c r="D12" i="4"/>
  <c r="C12" i="4"/>
  <c r="B12" i="4"/>
  <c r="X11" i="4"/>
  <c r="W11" i="4"/>
  <c r="V11" i="4"/>
  <c r="U11" i="4"/>
  <c r="T11" i="4"/>
  <c r="P11" i="4"/>
  <c r="O11" i="4"/>
  <c r="N11" i="4"/>
  <c r="M11" i="4"/>
  <c r="L11" i="4"/>
  <c r="K11" i="4"/>
  <c r="G11" i="4"/>
  <c r="F11" i="4"/>
  <c r="E11" i="4"/>
  <c r="D11" i="4"/>
  <c r="C11" i="4"/>
  <c r="B11" i="4"/>
  <c r="X10" i="4"/>
  <c r="W10" i="4"/>
  <c r="V10" i="4"/>
  <c r="U10" i="4"/>
  <c r="T10" i="4"/>
  <c r="P10" i="4"/>
  <c r="O10" i="4"/>
  <c r="N10" i="4"/>
  <c r="M10" i="4"/>
  <c r="L10" i="4"/>
  <c r="K10" i="4"/>
  <c r="G10" i="4"/>
  <c r="F10" i="4"/>
  <c r="H10" i="4" s="1"/>
  <c r="E10" i="4"/>
  <c r="D10" i="4"/>
  <c r="C10" i="4"/>
  <c r="B10" i="4"/>
  <c r="X9" i="4"/>
  <c r="W9" i="4"/>
  <c r="V9" i="4"/>
  <c r="U9" i="4"/>
  <c r="T9" i="4"/>
  <c r="P9" i="4"/>
  <c r="O9" i="4"/>
  <c r="N9" i="4"/>
  <c r="M9" i="4"/>
  <c r="L9" i="4"/>
  <c r="K9" i="4"/>
  <c r="G9" i="4"/>
  <c r="F9" i="4"/>
  <c r="E9" i="4"/>
  <c r="D9" i="4"/>
  <c r="C9" i="4"/>
  <c r="B9" i="4"/>
  <c r="X8" i="4"/>
  <c r="W8" i="4"/>
  <c r="V8" i="4"/>
  <c r="U8" i="4"/>
  <c r="T8" i="4"/>
  <c r="P8" i="4"/>
  <c r="O8" i="4"/>
  <c r="N8" i="4"/>
  <c r="M8" i="4"/>
  <c r="L8" i="4"/>
  <c r="K8" i="4"/>
  <c r="G8" i="4"/>
  <c r="F8" i="4"/>
  <c r="E8" i="4"/>
  <c r="D8" i="4"/>
  <c r="C8" i="4"/>
  <c r="B8" i="4"/>
  <c r="X7" i="4"/>
  <c r="W7" i="4"/>
  <c r="V7" i="4"/>
  <c r="U7" i="4"/>
  <c r="T7" i="4"/>
  <c r="P7" i="4"/>
  <c r="O7" i="4"/>
  <c r="N7" i="4"/>
  <c r="M7" i="4"/>
  <c r="L7" i="4"/>
  <c r="K7" i="4"/>
  <c r="G7" i="4"/>
  <c r="F7" i="4"/>
  <c r="E7" i="4"/>
  <c r="D7" i="4"/>
  <c r="C7" i="4"/>
  <c r="B7" i="4"/>
  <c r="X6" i="4"/>
  <c r="W6" i="4"/>
  <c r="V6" i="4"/>
  <c r="U6" i="4"/>
  <c r="T6" i="4"/>
  <c r="P6" i="4"/>
  <c r="O6" i="4"/>
  <c r="N6" i="4"/>
  <c r="M6" i="4"/>
  <c r="L6" i="4"/>
  <c r="K6" i="4"/>
  <c r="G6" i="4"/>
  <c r="F6" i="4"/>
  <c r="E6" i="4"/>
  <c r="D6" i="4"/>
  <c r="C6" i="4"/>
  <c r="B6" i="4"/>
  <c r="X5" i="4"/>
  <c r="W5" i="4"/>
  <c r="V5" i="4"/>
  <c r="U5" i="4"/>
  <c r="T5" i="4"/>
  <c r="P5" i="4"/>
  <c r="O5" i="4"/>
  <c r="N5" i="4"/>
  <c r="M5" i="4"/>
  <c r="L5" i="4"/>
  <c r="K5" i="4"/>
  <c r="G5" i="4"/>
  <c r="F5" i="4"/>
  <c r="E5" i="4"/>
  <c r="D5" i="4"/>
  <c r="C5" i="4"/>
  <c r="B5" i="4"/>
  <c r="X4" i="4"/>
  <c r="W4" i="4"/>
  <c r="V4" i="4"/>
  <c r="U4" i="4"/>
  <c r="T4" i="4"/>
  <c r="P4" i="4"/>
  <c r="O4" i="4"/>
  <c r="N4" i="4"/>
  <c r="M4" i="4"/>
  <c r="L4" i="4"/>
  <c r="K4" i="4"/>
  <c r="G4" i="4"/>
  <c r="F4" i="4"/>
  <c r="E4" i="4"/>
  <c r="D4" i="4"/>
  <c r="C4" i="4"/>
  <c r="B4" i="4"/>
  <c r="H43" i="3"/>
  <c r="H42" i="3"/>
  <c r="X40" i="3"/>
  <c r="W40" i="3"/>
  <c r="V40" i="3"/>
  <c r="U40" i="3"/>
  <c r="T40" i="3"/>
  <c r="P40" i="3"/>
  <c r="O40" i="3"/>
  <c r="N40" i="3"/>
  <c r="M40" i="3"/>
  <c r="L40" i="3"/>
  <c r="K40" i="3"/>
  <c r="G40" i="3"/>
  <c r="F40" i="3"/>
  <c r="E40" i="3"/>
  <c r="D40" i="3"/>
  <c r="C40" i="3"/>
  <c r="B40" i="3"/>
  <c r="X39" i="3"/>
  <c r="W39" i="3"/>
  <c r="V39" i="3"/>
  <c r="U39" i="3"/>
  <c r="Y39" i="3" s="1"/>
  <c r="T39" i="3"/>
  <c r="P39" i="3"/>
  <c r="O39" i="3"/>
  <c r="N39" i="3"/>
  <c r="M39" i="3"/>
  <c r="L39" i="3"/>
  <c r="K39" i="3"/>
  <c r="G39" i="3"/>
  <c r="F39" i="3"/>
  <c r="E39" i="3"/>
  <c r="D39" i="3"/>
  <c r="C39" i="3"/>
  <c r="B39" i="3"/>
  <c r="X38" i="3"/>
  <c r="W38" i="3"/>
  <c r="V38" i="3"/>
  <c r="U38" i="3"/>
  <c r="T38" i="3"/>
  <c r="P38" i="3"/>
  <c r="O38" i="3"/>
  <c r="N38" i="3"/>
  <c r="M38" i="3"/>
  <c r="L38" i="3"/>
  <c r="K38" i="3"/>
  <c r="G38" i="3"/>
  <c r="F38" i="3"/>
  <c r="E38" i="3"/>
  <c r="D38" i="3"/>
  <c r="C38" i="3"/>
  <c r="B38" i="3"/>
  <c r="X37" i="3"/>
  <c r="W37" i="3"/>
  <c r="V37" i="3"/>
  <c r="U37" i="3"/>
  <c r="T37" i="3"/>
  <c r="P37" i="3"/>
  <c r="O37" i="3"/>
  <c r="N37" i="3"/>
  <c r="M37" i="3"/>
  <c r="L37" i="3"/>
  <c r="Q37" i="3" s="1"/>
  <c r="K37" i="3"/>
  <c r="G37" i="3"/>
  <c r="F37" i="3"/>
  <c r="E37" i="3"/>
  <c r="D37" i="3"/>
  <c r="C37" i="3"/>
  <c r="B37" i="3"/>
  <c r="H37" i="3" s="1"/>
  <c r="X36" i="3"/>
  <c r="W36" i="3"/>
  <c r="V36" i="3"/>
  <c r="U36" i="3"/>
  <c r="T36" i="3"/>
  <c r="P36" i="3"/>
  <c r="O36" i="3"/>
  <c r="N36" i="3"/>
  <c r="M36" i="3"/>
  <c r="L36" i="3"/>
  <c r="K36" i="3"/>
  <c r="G36" i="3"/>
  <c r="F36" i="3"/>
  <c r="E36" i="3"/>
  <c r="D36" i="3"/>
  <c r="C36" i="3"/>
  <c r="B36" i="3"/>
  <c r="X35" i="3"/>
  <c r="W35" i="3"/>
  <c r="V35" i="3"/>
  <c r="U35" i="3"/>
  <c r="T35" i="3"/>
  <c r="P35" i="3"/>
  <c r="O35" i="3"/>
  <c r="N35" i="3"/>
  <c r="M35" i="3"/>
  <c r="L35" i="3"/>
  <c r="K35" i="3"/>
  <c r="G35" i="3"/>
  <c r="F35" i="3"/>
  <c r="E35" i="3"/>
  <c r="D35" i="3"/>
  <c r="C35" i="3"/>
  <c r="B35" i="3"/>
  <c r="X34" i="3"/>
  <c r="W34" i="3"/>
  <c r="V34" i="3"/>
  <c r="U34" i="3"/>
  <c r="T34" i="3"/>
  <c r="P34" i="3"/>
  <c r="O34" i="3"/>
  <c r="N34" i="3"/>
  <c r="M34" i="3"/>
  <c r="L34" i="3"/>
  <c r="K34" i="3"/>
  <c r="G34" i="3"/>
  <c r="F34" i="3"/>
  <c r="E34" i="3"/>
  <c r="D34" i="3"/>
  <c r="C34" i="3"/>
  <c r="B34" i="3"/>
  <c r="X33" i="3"/>
  <c r="W33" i="3"/>
  <c r="V33" i="3"/>
  <c r="U33" i="3"/>
  <c r="T33" i="3"/>
  <c r="P33" i="3"/>
  <c r="O33" i="3"/>
  <c r="N33" i="3"/>
  <c r="M33" i="3"/>
  <c r="L33" i="3"/>
  <c r="K33" i="3"/>
  <c r="G33" i="3"/>
  <c r="F33" i="3"/>
  <c r="E33" i="3"/>
  <c r="D33" i="3"/>
  <c r="C33" i="3"/>
  <c r="B33" i="3"/>
  <c r="X32" i="3"/>
  <c r="W32" i="3"/>
  <c r="V32" i="3"/>
  <c r="U32" i="3"/>
  <c r="T32" i="3"/>
  <c r="P32" i="3"/>
  <c r="O32" i="3"/>
  <c r="N32" i="3"/>
  <c r="M32" i="3"/>
  <c r="L32" i="3"/>
  <c r="K32" i="3"/>
  <c r="G32" i="3"/>
  <c r="F32" i="3"/>
  <c r="E32" i="3"/>
  <c r="D32" i="3"/>
  <c r="C32" i="3"/>
  <c r="B32" i="3"/>
  <c r="X31" i="3"/>
  <c r="W31" i="3"/>
  <c r="V31" i="3"/>
  <c r="U31" i="3"/>
  <c r="T31" i="3"/>
  <c r="P31" i="3"/>
  <c r="O31" i="3"/>
  <c r="N31" i="3"/>
  <c r="M31" i="3"/>
  <c r="L31" i="3"/>
  <c r="K31" i="3"/>
  <c r="G31" i="3"/>
  <c r="F31" i="3"/>
  <c r="E31" i="3"/>
  <c r="D31" i="3"/>
  <c r="C31" i="3"/>
  <c r="B31" i="3"/>
  <c r="X30" i="3"/>
  <c r="W30" i="3"/>
  <c r="V30" i="3"/>
  <c r="U30" i="3"/>
  <c r="T30" i="3"/>
  <c r="P30" i="3"/>
  <c r="O30" i="3"/>
  <c r="N30" i="3"/>
  <c r="M30" i="3"/>
  <c r="L30" i="3"/>
  <c r="K30" i="3"/>
  <c r="G30" i="3"/>
  <c r="F30" i="3"/>
  <c r="E30" i="3"/>
  <c r="D30" i="3"/>
  <c r="C30" i="3"/>
  <c r="B30" i="3"/>
  <c r="X29" i="3"/>
  <c r="W29" i="3"/>
  <c r="V29" i="3"/>
  <c r="U29" i="3"/>
  <c r="T29" i="3"/>
  <c r="P29" i="3"/>
  <c r="O29" i="3"/>
  <c r="N29" i="3"/>
  <c r="M29" i="3"/>
  <c r="L29" i="3"/>
  <c r="Q29" i="3" s="1"/>
  <c r="K29" i="3"/>
  <c r="G29" i="3"/>
  <c r="F29" i="3"/>
  <c r="E29" i="3"/>
  <c r="D29" i="3"/>
  <c r="C29" i="3"/>
  <c r="B29" i="3"/>
  <c r="H29" i="3" s="1"/>
  <c r="X28" i="3"/>
  <c r="W28" i="3"/>
  <c r="V28" i="3"/>
  <c r="U28" i="3"/>
  <c r="T28" i="3"/>
  <c r="P28" i="3"/>
  <c r="O28" i="3"/>
  <c r="N28" i="3"/>
  <c r="M28" i="3"/>
  <c r="L28" i="3"/>
  <c r="K28" i="3"/>
  <c r="G28" i="3"/>
  <c r="F28" i="3"/>
  <c r="E28" i="3"/>
  <c r="D28" i="3"/>
  <c r="C28" i="3"/>
  <c r="B28" i="3"/>
  <c r="X27" i="3"/>
  <c r="W27" i="3"/>
  <c r="V27" i="3"/>
  <c r="U27" i="3"/>
  <c r="T27" i="3"/>
  <c r="P27" i="3"/>
  <c r="O27" i="3"/>
  <c r="N27" i="3"/>
  <c r="M27" i="3"/>
  <c r="L27" i="3"/>
  <c r="K27" i="3"/>
  <c r="G27" i="3"/>
  <c r="F27" i="3"/>
  <c r="E27" i="3"/>
  <c r="D27" i="3"/>
  <c r="C27" i="3"/>
  <c r="B27" i="3"/>
  <c r="X26" i="3"/>
  <c r="W26" i="3"/>
  <c r="V26" i="3"/>
  <c r="U26" i="3"/>
  <c r="T26" i="3"/>
  <c r="P26" i="3"/>
  <c r="O26" i="3"/>
  <c r="N26" i="3"/>
  <c r="M26" i="3"/>
  <c r="L26" i="3"/>
  <c r="K26" i="3"/>
  <c r="G26" i="3"/>
  <c r="F26" i="3"/>
  <c r="E26" i="3"/>
  <c r="D26" i="3"/>
  <c r="C26" i="3"/>
  <c r="B26" i="3"/>
  <c r="X25" i="3"/>
  <c r="W25" i="3"/>
  <c r="V25" i="3"/>
  <c r="U25" i="3"/>
  <c r="T25" i="3"/>
  <c r="P25" i="3"/>
  <c r="O25" i="3"/>
  <c r="N25" i="3"/>
  <c r="M25" i="3"/>
  <c r="L25" i="3"/>
  <c r="K25" i="3"/>
  <c r="G25" i="3"/>
  <c r="F25" i="3"/>
  <c r="E25" i="3"/>
  <c r="D25" i="3"/>
  <c r="C25" i="3"/>
  <c r="B25" i="3"/>
  <c r="X24" i="3"/>
  <c r="W24" i="3"/>
  <c r="V24" i="3"/>
  <c r="U24" i="3"/>
  <c r="T24" i="3"/>
  <c r="P24" i="3"/>
  <c r="O24" i="3"/>
  <c r="N24" i="3"/>
  <c r="M24" i="3"/>
  <c r="L24" i="3"/>
  <c r="K24" i="3"/>
  <c r="G24" i="3"/>
  <c r="F24" i="3"/>
  <c r="E24" i="3"/>
  <c r="D24" i="3"/>
  <c r="C24" i="3"/>
  <c r="B24" i="3"/>
  <c r="X23" i="3"/>
  <c r="W23" i="3"/>
  <c r="V23" i="3"/>
  <c r="U23" i="3"/>
  <c r="T23" i="3"/>
  <c r="P23" i="3"/>
  <c r="O23" i="3"/>
  <c r="N23" i="3"/>
  <c r="M23" i="3"/>
  <c r="L23" i="3"/>
  <c r="K23" i="3"/>
  <c r="G23" i="3"/>
  <c r="F23" i="3"/>
  <c r="E23" i="3"/>
  <c r="D23" i="3"/>
  <c r="C23" i="3"/>
  <c r="B23" i="3"/>
  <c r="X22" i="3"/>
  <c r="W22" i="3"/>
  <c r="V22" i="3"/>
  <c r="U22" i="3"/>
  <c r="T22" i="3"/>
  <c r="P22" i="3"/>
  <c r="O22" i="3"/>
  <c r="N22" i="3"/>
  <c r="M22" i="3"/>
  <c r="L22" i="3"/>
  <c r="K22" i="3"/>
  <c r="G22" i="3"/>
  <c r="F22" i="3"/>
  <c r="E22" i="3"/>
  <c r="D22" i="3"/>
  <c r="C22" i="3"/>
  <c r="B22" i="3"/>
  <c r="X21" i="3"/>
  <c r="W21" i="3"/>
  <c r="V21" i="3"/>
  <c r="U21" i="3"/>
  <c r="T21" i="3"/>
  <c r="P21" i="3"/>
  <c r="O21" i="3"/>
  <c r="N21" i="3"/>
  <c r="M21" i="3"/>
  <c r="L21" i="3"/>
  <c r="Q21" i="3" s="1"/>
  <c r="K21" i="3"/>
  <c r="G21" i="3"/>
  <c r="F21" i="3"/>
  <c r="E21" i="3"/>
  <c r="D21" i="3"/>
  <c r="C21" i="3"/>
  <c r="B21" i="3"/>
  <c r="X20" i="3"/>
  <c r="W20" i="3"/>
  <c r="V20" i="3"/>
  <c r="U20" i="3"/>
  <c r="T20" i="3"/>
  <c r="P20" i="3"/>
  <c r="O20" i="3"/>
  <c r="N20" i="3"/>
  <c r="M20" i="3"/>
  <c r="L20" i="3"/>
  <c r="K20" i="3"/>
  <c r="G20" i="3"/>
  <c r="F20" i="3"/>
  <c r="E20" i="3"/>
  <c r="D20" i="3"/>
  <c r="C20" i="3"/>
  <c r="B20" i="3"/>
  <c r="X19" i="3"/>
  <c r="W19" i="3"/>
  <c r="V19" i="3"/>
  <c r="U19" i="3"/>
  <c r="T19" i="3"/>
  <c r="P19" i="3"/>
  <c r="O19" i="3"/>
  <c r="N19" i="3"/>
  <c r="M19" i="3"/>
  <c r="L19" i="3"/>
  <c r="K19" i="3"/>
  <c r="G19" i="3"/>
  <c r="F19" i="3"/>
  <c r="E19" i="3"/>
  <c r="D19" i="3"/>
  <c r="C19" i="3"/>
  <c r="B19" i="3"/>
  <c r="X18" i="3"/>
  <c r="W18" i="3"/>
  <c r="V18" i="3"/>
  <c r="U18" i="3"/>
  <c r="T18" i="3"/>
  <c r="P18" i="3"/>
  <c r="O18" i="3"/>
  <c r="N18" i="3"/>
  <c r="M18" i="3"/>
  <c r="L18" i="3"/>
  <c r="K18" i="3"/>
  <c r="G18" i="3"/>
  <c r="F18" i="3"/>
  <c r="E18" i="3"/>
  <c r="D18" i="3"/>
  <c r="C18" i="3"/>
  <c r="B18" i="3"/>
  <c r="X17" i="3"/>
  <c r="W17" i="3"/>
  <c r="V17" i="3"/>
  <c r="U17" i="3"/>
  <c r="T17" i="3"/>
  <c r="P17" i="3"/>
  <c r="O17" i="3"/>
  <c r="N17" i="3"/>
  <c r="M17" i="3"/>
  <c r="L17" i="3"/>
  <c r="K17" i="3"/>
  <c r="G17" i="3"/>
  <c r="F17" i="3"/>
  <c r="E17" i="3"/>
  <c r="D17" i="3"/>
  <c r="C17" i="3"/>
  <c r="B17" i="3"/>
  <c r="X16" i="3"/>
  <c r="W16" i="3"/>
  <c r="V16" i="3"/>
  <c r="U16" i="3"/>
  <c r="T16" i="3"/>
  <c r="P16" i="3"/>
  <c r="O16" i="3"/>
  <c r="N16" i="3"/>
  <c r="M16" i="3"/>
  <c r="L16" i="3"/>
  <c r="K16" i="3"/>
  <c r="G16" i="3"/>
  <c r="F16" i="3"/>
  <c r="E16" i="3"/>
  <c r="D16" i="3"/>
  <c r="C16" i="3"/>
  <c r="B16" i="3"/>
  <c r="X15" i="3"/>
  <c r="W15" i="3"/>
  <c r="V15" i="3"/>
  <c r="U15" i="3"/>
  <c r="T15" i="3"/>
  <c r="P15" i="3"/>
  <c r="O15" i="3"/>
  <c r="N15" i="3"/>
  <c r="M15" i="3"/>
  <c r="L15" i="3"/>
  <c r="K15" i="3"/>
  <c r="G15" i="3"/>
  <c r="F15" i="3"/>
  <c r="E15" i="3"/>
  <c r="D15" i="3"/>
  <c r="C15" i="3"/>
  <c r="B15" i="3"/>
  <c r="X14" i="3"/>
  <c r="W14" i="3"/>
  <c r="V14" i="3"/>
  <c r="U14" i="3"/>
  <c r="T14" i="3"/>
  <c r="P14" i="3"/>
  <c r="O14" i="3"/>
  <c r="N14" i="3"/>
  <c r="M14" i="3"/>
  <c r="L14" i="3"/>
  <c r="K14" i="3"/>
  <c r="G14" i="3"/>
  <c r="F14" i="3"/>
  <c r="E14" i="3"/>
  <c r="D14" i="3"/>
  <c r="C14" i="3"/>
  <c r="B14" i="3"/>
  <c r="X13" i="3"/>
  <c r="W13" i="3"/>
  <c r="V13" i="3"/>
  <c r="U13" i="3"/>
  <c r="T13" i="3"/>
  <c r="P13" i="3"/>
  <c r="O13" i="3"/>
  <c r="N13" i="3"/>
  <c r="M13" i="3"/>
  <c r="L13" i="3"/>
  <c r="Q13" i="3" s="1"/>
  <c r="K13" i="3"/>
  <c r="G13" i="3"/>
  <c r="F13" i="3"/>
  <c r="E13" i="3"/>
  <c r="D13" i="3"/>
  <c r="C13" i="3"/>
  <c r="B13" i="3"/>
  <c r="X12" i="3"/>
  <c r="W12" i="3"/>
  <c r="V12" i="3"/>
  <c r="U12" i="3"/>
  <c r="T12" i="3"/>
  <c r="P12" i="3"/>
  <c r="O12" i="3"/>
  <c r="N12" i="3"/>
  <c r="M12" i="3"/>
  <c r="L12" i="3"/>
  <c r="K12" i="3"/>
  <c r="G12" i="3"/>
  <c r="F12" i="3"/>
  <c r="E12" i="3"/>
  <c r="D12" i="3"/>
  <c r="C12" i="3"/>
  <c r="B12" i="3"/>
  <c r="X11" i="3"/>
  <c r="W11" i="3"/>
  <c r="V11" i="3"/>
  <c r="U11" i="3"/>
  <c r="T11" i="3"/>
  <c r="P11" i="3"/>
  <c r="O11" i="3"/>
  <c r="N11" i="3"/>
  <c r="M11" i="3"/>
  <c r="L11" i="3"/>
  <c r="K11" i="3"/>
  <c r="G11" i="3"/>
  <c r="F11" i="3"/>
  <c r="E11" i="3"/>
  <c r="D11" i="3"/>
  <c r="C11" i="3"/>
  <c r="B11" i="3"/>
  <c r="X10" i="3"/>
  <c r="W10" i="3"/>
  <c r="V10" i="3"/>
  <c r="U10" i="3"/>
  <c r="T10" i="3"/>
  <c r="P10" i="3"/>
  <c r="O10" i="3"/>
  <c r="N10" i="3"/>
  <c r="M10" i="3"/>
  <c r="L10" i="3"/>
  <c r="K10" i="3"/>
  <c r="G10" i="3"/>
  <c r="F10" i="3"/>
  <c r="E10" i="3"/>
  <c r="D10" i="3"/>
  <c r="C10" i="3"/>
  <c r="B10" i="3"/>
  <c r="X9" i="3"/>
  <c r="W9" i="3"/>
  <c r="V9" i="3"/>
  <c r="U9" i="3"/>
  <c r="T9" i="3"/>
  <c r="P9" i="3"/>
  <c r="O9" i="3"/>
  <c r="N9" i="3"/>
  <c r="M9" i="3"/>
  <c r="L9" i="3"/>
  <c r="K9" i="3"/>
  <c r="G9" i="3"/>
  <c r="F9" i="3"/>
  <c r="E9" i="3"/>
  <c r="D9" i="3"/>
  <c r="C9" i="3"/>
  <c r="B9" i="3"/>
  <c r="X8" i="3"/>
  <c r="W8" i="3"/>
  <c r="V8" i="3"/>
  <c r="U8" i="3"/>
  <c r="T8" i="3"/>
  <c r="P8" i="3"/>
  <c r="O8" i="3"/>
  <c r="N8" i="3"/>
  <c r="M8" i="3"/>
  <c r="L8" i="3"/>
  <c r="K8" i="3"/>
  <c r="G8" i="3"/>
  <c r="F8" i="3"/>
  <c r="E8" i="3"/>
  <c r="D8" i="3"/>
  <c r="C8" i="3"/>
  <c r="B8" i="3"/>
  <c r="X7" i="3"/>
  <c r="W7" i="3"/>
  <c r="V7" i="3"/>
  <c r="U7" i="3"/>
  <c r="T7" i="3"/>
  <c r="P7" i="3"/>
  <c r="O7" i="3"/>
  <c r="N7" i="3"/>
  <c r="M7" i="3"/>
  <c r="L7" i="3"/>
  <c r="K7" i="3"/>
  <c r="G7" i="3"/>
  <c r="F7" i="3"/>
  <c r="E7" i="3"/>
  <c r="D7" i="3"/>
  <c r="C7" i="3"/>
  <c r="B7" i="3"/>
  <c r="X6" i="3"/>
  <c r="W6" i="3"/>
  <c r="V6" i="3"/>
  <c r="U6" i="3"/>
  <c r="T6" i="3"/>
  <c r="P6" i="3"/>
  <c r="O6" i="3"/>
  <c r="N6" i="3"/>
  <c r="M6" i="3"/>
  <c r="L6" i="3"/>
  <c r="K6" i="3"/>
  <c r="G6" i="3"/>
  <c r="F6" i="3"/>
  <c r="E6" i="3"/>
  <c r="D6" i="3"/>
  <c r="C6" i="3"/>
  <c r="B6" i="3"/>
  <c r="X5" i="3"/>
  <c r="W5" i="3"/>
  <c r="V5" i="3"/>
  <c r="U5" i="3"/>
  <c r="T5" i="3"/>
  <c r="P5" i="3"/>
  <c r="O5" i="3"/>
  <c r="N5" i="3"/>
  <c r="M5" i="3"/>
  <c r="L5" i="3"/>
  <c r="Q5" i="3" s="1"/>
  <c r="K5" i="3"/>
  <c r="G5" i="3"/>
  <c r="F5" i="3"/>
  <c r="E5" i="3"/>
  <c r="D5" i="3"/>
  <c r="C5" i="3"/>
  <c r="B5" i="3"/>
  <c r="X4" i="3"/>
  <c r="W4" i="3"/>
  <c r="V4" i="3"/>
  <c r="U4" i="3"/>
  <c r="T4" i="3"/>
  <c r="P4" i="3"/>
  <c r="O4" i="3"/>
  <c r="N4" i="3"/>
  <c r="M4" i="3"/>
  <c r="L4" i="3"/>
  <c r="K4" i="3"/>
  <c r="G4" i="3"/>
  <c r="F4" i="3"/>
  <c r="E4" i="3"/>
  <c r="D4" i="3"/>
  <c r="C4" i="3"/>
  <c r="B4" i="3"/>
  <c r="E18" i="1"/>
  <c r="E19" i="1"/>
  <c r="E20" i="1"/>
  <c r="H20" i="1" s="1"/>
  <c r="E21" i="1"/>
  <c r="E22" i="1"/>
  <c r="E23" i="1"/>
  <c r="E24" i="1"/>
  <c r="E25" i="1"/>
  <c r="E26" i="1"/>
  <c r="E27" i="1"/>
  <c r="H27" i="1" s="1"/>
  <c r="E28" i="1"/>
  <c r="E29" i="1"/>
  <c r="E30" i="1"/>
  <c r="E31" i="1"/>
  <c r="E32" i="1"/>
  <c r="E33" i="1"/>
  <c r="E34" i="1"/>
  <c r="E35" i="1"/>
  <c r="H35" i="1" s="1"/>
  <c r="E36" i="1"/>
  <c r="H36" i="1" s="1"/>
  <c r="E37" i="1"/>
  <c r="E38" i="1"/>
  <c r="E39" i="1"/>
  <c r="E40" i="1"/>
  <c r="E5" i="1"/>
  <c r="E6" i="1"/>
  <c r="E7" i="1"/>
  <c r="E8" i="1"/>
  <c r="E9" i="1"/>
  <c r="E10" i="1"/>
  <c r="E11" i="1"/>
  <c r="E12" i="1"/>
  <c r="H12" i="1" s="1"/>
  <c r="E13" i="1"/>
  <c r="E14" i="1"/>
  <c r="H14" i="1" s="1"/>
  <c r="E15" i="1"/>
  <c r="E16" i="1"/>
  <c r="E17" i="1"/>
  <c r="E4" i="1"/>
  <c r="H15" i="1"/>
  <c r="H16" i="1"/>
  <c r="H23" i="1"/>
  <c r="H25" i="1"/>
  <c r="H28" i="1"/>
  <c r="H32" i="1"/>
  <c r="H42" i="1"/>
  <c r="B4" i="1"/>
  <c r="B5" i="1"/>
  <c r="B6" i="1"/>
  <c r="H6" i="1" s="1"/>
  <c r="B7" i="1"/>
  <c r="B8" i="1"/>
  <c r="B9" i="1"/>
  <c r="B10" i="1"/>
  <c r="H10" i="1" s="1"/>
  <c r="B11" i="1"/>
  <c r="B12" i="1"/>
  <c r="B13" i="1"/>
  <c r="B14" i="1"/>
  <c r="B15" i="1"/>
  <c r="B16" i="1"/>
  <c r="B17" i="1"/>
  <c r="B18" i="1"/>
  <c r="B19" i="1"/>
  <c r="B20" i="1"/>
  <c r="B21" i="1"/>
  <c r="B22" i="1"/>
  <c r="H22" i="1" s="1"/>
  <c r="B23" i="1"/>
  <c r="B24" i="1"/>
  <c r="B25" i="1"/>
  <c r="B26" i="1"/>
  <c r="B27" i="1"/>
  <c r="B28" i="1"/>
  <c r="B29" i="1"/>
  <c r="B30" i="1"/>
  <c r="H30" i="1" s="1"/>
  <c r="B31" i="1"/>
  <c r="B32" i="1"/>
  <c r="B33" i="1"/>
  <c r="B34" i="1"/>
  <c r="B35" i="1"/>
  <c r="B36" i="1"/>
  <c r="B37" i="1"/>
  <c r="B38" i="1"/>
  <c r="H38" i="1" s="1"/>
  <c r="B39" i="1"/>
  <c r="B40" i="1"/>
  <c r="H11" i="1"/>
  <c r="H5" i="1"/>
  <c r="H8" i="1"/>
  <c r="H9" i="1"/>
  <c r="H13" i="1"/>
  <c r="H17" i="1"/>
  <c r="H18" i="1"/>
  <c r="H19" i="1"/>
  <c r="H21" i="1"/>
  <c r="H24" i="1"/>
  <c r="H29" i="1"/>
  <c r="H33" i="1"/>
  <c r="H37" i="1"/>
  <c r="H40" i="1"/>
  <c r="H43" i="1"/>
  <c r="T5" i="1"/>
  <c r="T6" i="1"/>
  <c r="T7" i="1"/>
  <c r="T8" i="1"/>
  <c r="T9" i="1"/>
  <c r="T10" i="1"/>
  <c r="T11" i="1"/>
  <c r="T12" i="1"/>
  <c r="T13" i="1"/>
  <c r="T14" i="1"/>
  <c r="T15" i="1"/>
  <c r="T16" i="1"/>
  <c r="T17" i="1"/>
  <c r="T18" i="1"/>
  <c r="T19" i="1"/>
  <c r="T20" i="1"/>
  <c r="T21" i="1"/>
  <c r="T22" i="1"/>
  <c r="T23" i="1"/>
  <c r="T24" i="1"/>
  <c r="T25" i="1"/>
  <c r="T26" i="1"/>
  <c r="T27" i="1"/>
  <c r="T28" i="1"/>
  <c r="T29" i="1"/>
  <c r="T30" i="1"/>
  <c r="T31" i="1"/>
  <c r="T32" i="1"/>
  <c r="T33" i="1"/>
  <c r="T34" i="1"/>
  <c r="T35" i="1"/>
  <c r="T36" i="1"/>
  <c r="T37" i="1"/>
  <c r="T38" i="1"/>
  <c r="T39" i="1"/>
  <c r="T40" i="1"/>
  <c r="T4" i="1"/>
  <c r="X5" i="1"/>
  <c r="X6" i="1"/>
  <c r="X7" i="1"/>
  <c r="X8" i="1"/>
  <c r="X9" i="1"/>
  <c r="X10" i="1"/>
  <c r="X11" i="1"/>
  <c r="X12" i="1"/>
  <c r="X13" i="1"/>
  <c r="X14" i="1"/>
  <c r="X15" i="1"/>
  <c r="X16" i="1"/>
  <c r="X17" i="1"/>
  <c r="X18" i="1"/>
  <c r="X19" i="1"/>
  <c r="X20" i="1"/>
  <c r="X21" i="1"/>
  <c r="X22" i="1"/>
  <c r="X23" i="1"/>
  <c r="X24" i="1"/>
  <c r="X25" i="1"/>
  <c r="X26" i="1"/>
  <c r="X27" i="1"/>
  <c r="X28" i="1"/>
  <c r="X29" i="1"/>
  <c r="X30" i="1"/>
  <c r="X31" i="1"/>
  <c r="X32" i="1"/>
  <c r="X33" i="1"/>
  <c r="X34" i="1"/>
  <c r="X35" i="1"/>
  <c r="X36" i="1"/>
  <c r="X37" i="1"/>
  <c r="X38" i="1"/>
  <c r="X39" i="1"/>
  <c r="X40" i="1"/>
  <c r="X4" i="1"/>
  <c r="W5" i="1"/>
  <c r="W6" i="1"/>
  <c r="W7" i="1"/>
  <c r="W8" i="1"/>
  <c r="W9" i="1"/>
  <c r="W10" i="1"/>
  <c r="W11" i="1"/>
  <c r="W12" i="1"/>
  <c r="W13" i="1"/>
  <c r="W14" i="1"/>
  <c r="W15" i="1"/>
  <c r="W16" i="1"/>
  <c r="W17" i="1"/>
  <c r="W18" i="1"/>
  <c r="W19" i="1"/>
  <c r="W20" i="1"/>
  <c r="W21" i="1"/>
  <c r="W22" i="1"/>
  <c r="W23" i="1"/>
  <c r="W24" i="1"/>
  <c r="W25" i="1"/>
  <c r="W26" i="1"/>
  <c r="W27" i="1"/>
  <c r="W28" i="1"/>
  <c r="W29" i="1"/>
  <c r="W30" i="1"/>
  <c r="W31" i="1"/>
  <c r="W32" i="1"/>
  <c r="W33" i="1"/>
  <c r="W34" i="1"/>
  <c r="W35" i="1"/>
  <c r="W36" i="1"/>
  <c r="W37" i="1"/>
  <c r="W38" i="1"/>
  <c r="W39" i="1"/>
  <c r="W40" i="1"/>
  <c r="W4" i="1"/>
  <c r="V22" i="1"/>
  <c r="V18" i="1"/>
  <c r="V19" i="1"/>
  <c r="V20" i="1"/>
  <c r="V21" i="1"/>
  <c r="V23" i="1"/>
  <c r="V24" i="1"/>
  <c r="V25" i="1"/>
  <c r="V26" i="1"/>
  <c r="V27" i="1"/>
  <c r="V28" i="1"/>
  <c r="V29" i="1"/>
  <c r="V30" i="1"/>
  <c r="V31" i="1"/>
  <c r="V32" i="1"/>
  <c r="V33" i="1"/>
  <c r="V34" i="1"/>
  <c r="V35" i="1"/>
  <c r="V36" i="1"/>
  <c r="V37" i="1"/>
  <c r="V38" i="1"/>
  <c r="V39" i="1"/>
  <c r="V40" i="1"/>
  <c r="V5" i="1"/>
  <c r="V6" i="1"/>
  <c r="V7" i="1"/>
  <c r="V8" i="1"/>
  <c r="V9" i="1"/>
  <c r="V10" i="1"/>
  <c r="V11" i="1"/>
  <c r="V12" i="1"/>
  <c r="V13" i="1"/>
  <c r="V14" i="1"/>
  <c r="V15" i="1"/>
  <c r="V16" i="1"/>
  <c r="V17" i="1"/>
  <c r="V4" i="1"/>
  <c r="U19" i="1"/>
  <c r="U20" i="1"/>
  <c r="U21" i="1"/>
  <c r="U22" i="1"/>
  <c r="U23" i="1"/>
  <c r="U24" i="1"/>
  <c r="U25" i="1"/>
  <c r="U26" i="1"/>
  <c r="U27" i="1"/>
  <c r="U28" i="1"/>
  <c r="U29" i="1"/>
  <c r="U30" i="1"/>
  <c r="U31" i="1"/>
  <c r="U32" i="1"/>
  <c r="U33" i="1"/>
  <c r="U34" i="1"/>
  <c r="U35" i="1"/>
  <c r="U36" i="1"/>
  <c r="U37" i="1"/>
  <c r="U38" i="1"/>
  <c r="U39" i="1"/>
  <c r="U40" i="1"/>
  <c r="U5" i="1"/>
  <c r="U6" i="1"/>
  <c r="U7" i="1"/>
  <c r="U8" i="1"/>
  <c r="U9" i="1"/>
  <c r="U10" i="1"/>
  <c r="U11" i="1"/>
  <c r="U12" i="1"/>
  <c r="U13" i="1"/>
  <c r="U14" i="1"/>
  <c r="U15" i="1"/>
  <c r="U16" i="1"/>
  <c r="U17" i="1"/>
  <c r="U18" i="1"/>
  <c r="U4" i="1"/>
  <c r="M4" i="1"/>
  <c r="P4" i="1"/>
  <c r="P5" i="1"/>
  <c r="P6" i="1"/>
  <c r="P7" i="1"/>
  <c r="P8" i="1"/>
  <c r="P9" i="1"/>
  <c r="P10" i="1"/>
  <c r="P11" i="1"/>
  <c r="P12" i="1"/>
  <c r="P13" i="1"/>
  <c r="P14" i="1"/>
  <c r="P15" i="1"/>
  <c r="P16" i="1"/>
  <c r="P17" i="1"/>
  <c r="P18" i="1"/>
  <c r="P19" i="1"/>
  <c r="P20" i="1"/>
  <c r="P21" i="1"/>
  <c r="P22" i="1"/>
  <c r="P23" i="1"/>
  <c r="P24" i="1"/>
  <c r="P25" i="1"/>
  <c r="P26" i="1"/>
  <c r="P27" i="1"/>
  <c r="P28" i="1"/>
  <c r="P29" i="1"/>
  <c r="P30" i="1"/>
  <c r="P31" i="1"/>
  <c r="P32" i="1"/>
  <c r="P33" i="1"/>
  <c r="P34" i="1"/>
  <c r="P35" i="1"/>
  <c r="P36" i="1"/>
  <c r="P37" i="1"/>
  <c r="P38" i="1"/>
  <c r="P39" i="1"/>
  <c r="P40" i="1"/>
  <c r="N4" i="1"/>
  <c r="O5" i="1"/>
  <c r="O6" i="1"/>
  <c r="O7" i="1"/>
  <c r="O8" i="1"/>
  <c r="O9" i="1"/>
  <c r="O10" i="1"/>
  <c r="O11" i="1"/>
  <c r="O12" i="1"/>
  <c r="O13" i="1"/>
  <c r="O14" i="1"/>
  <c r="O15" i="1"/>
  <c r="O16" i="1"/>
  <c r="O17" i="1"/>
  <c r="O18" i="1"/>
  <c r="O19" i="1"/>
  <c r="O20" i="1"/>
  <c r="O21" i="1"/>
  <c r="O22" i="1"/>
  <c r="O23" i="1"/>
  <c r="O24" i="1"/>
  <c r="O25" i="1"/>
  <c r="O26" i="1"/>
  <c r="O27" i="1"/>
  <c r="O28" i="1"/>
  <c r="O29" i="1"/>
  <c r="O30" i="1"/>
  <c r="O31" i="1"/>
  <c r="O32" i="1"/>
  <c r="O33" i="1"/>
  <c r="O34" i="1"/>
  <c r="O35" i="1"/>
  <c r="O36" i="1"/>
  <c r="O37" i="1"/>
  <c r="O38" i="1"/>
  <c r="O39" i="1"/>
  <c r="O40" i="1"/>
  <c r="O4" i="1"/>
  <c r="N5" i="1"/>
  <c r="N6" i="1"/>
  <c r="N7" i="1"/>
  <c r="N8" i="1"/>
  <c r="N9" i="1"/>
  <c r="N10" i="1"/>
  <c r="N11" i="1"/>
  <c r="N12" i="1"/>
  <c r="N13" i="1"/>
  <c r="N14" i="1"/>
  <c r="N15" i="1"/>
  <c r="N16" i="1"/>
  <c r="N17" i="1"/>
  <c r="N18" i="1"/>
  <c r="N19" i="1"/>
  <c r="N20" i="1"/>
  <c r="N21" i="1"/>
  <c r="N22" i="1"/>
  <c r="N23" i="1"/>
  <c r="N24" i="1"/>
  <c r="N25" i="1"/>
  <c r="N26" i="1"/>
  <c r="N27" i="1"/>
  <c r="N28" i="1"/>
  <c r="N29" i="1"/>
  <c r="N30" i="1"/>
  <c r="N31" i="1"/>
  <c r="N32" i="1"/>
  <c r="N33" i="1"/>
  <c r="N34" i="1"/>
  <c r="N35" i="1"/>
  <c r="N36" i="1"/>
  <c r="N37" i="1"/>
  <c r="N38" i="1"/>
  <c r="N39" i="1"/>
  <c r="N40" i="1"/>
  <c r="M5" i="1"/>
  <c r="M6" i="1"/>
  <c r="M7" i="1"/>
  <c r="M8" i="1"/>
  <c r="M9" i="1"/>
  <c r="M10" i="1"/>
  <c r="M11" i="1"/>
  <c r="M12" i="1"/>
  <c r="M13" i="1"/>
  <c r="M14" i="1"/>
  <c r="M15" i="1"/>
  <c r="M16" i="1"/>
  <c r="M17" i="1"/>
  <c r="M18" i="1"/>
  <c r="M19" i="1"/>
  <c r="M20" i="1"/>
  <c r="M21" i="1"/>
  <c r="M22" i="1"/>
  <c r="M23" i="1"/>
  <c r="M24" i="1"/>
  <c r="M25" i="1"/>
  <c r="M26" i="1"/>
  <c r="M27" i="1"/>
  <c r="M28" i="1"/>
  <c r="M29" i="1"/>
  <c r="M30" i="1"/>
  <c r="M31" i="1"/>
  <c r="M32" i="1"/>
  <c r="M33" i="1"/>
  <c r="M34" i="1"/>
  <c r="M35" i="1"/>
  <c r="M36" i="1"/>
  <c r="M37" i="1"/>
  <c r="M38" i="1"/>
  <c r="M39" i="1"/>
  <c r="M40" i="1"/>
  <c r="L5" i="1"/>
  <c r="L6" i="1"/>
  <c r="L7" i="1"/>
  <c r="L8" i="1"/>
  <c r="L9" i="1"/>
  <c r="L10" i="1"/>
  <c r="L11" i="1"/>
  <c r="L12" i="1"/>
  <c r="L13" i="1"/>
  <c r="L14" i="1"/>
  <c r="L15" i="1"/>
  <c r="L16" i="1"/>
  <c r="L17" i="1"/>
  <c r="L18" i="1"/>
  <c r="L19" i="1"/>
  <c r="L20" i="1"/>
  <c r="L21" i="1"/>
  <c r="L22" i="1"/>
  <c r="L23" i="1"/>
  <c r="L24" i="1"/>
  <c r="L25" i="1"/>
  <c r="L26" i="1"/>
  <c r="L27" i="1"/>
  <c r="L28" i="1"/>
  <c r="L29" i="1"/>
  <c r="L30" i="1"/>
  <c r="L31" i="1"/>
  <c r="L32" i="1"/>
  <c r="L33" i="1"/>
  <c r="L34" i="1"/>
  <c r="L35" i="1"/>
  <c r="L36" i="1"/>
  <c r="L37" i="1"/>
  <c r="L38" i="1"/>
  <c r="L39" i="1"/>
  <c r="L40" i="1"/>
  <c r="L4" i="1"/>
  <c r="K25" i="1"/>
  <c r="K26" i="1"/>
  <c r="K27" i="1"/>
  <c r="K28" i="1"/>
  <c r="K29" i="1"/>
  <c r="K30" i="1"/>
  <c r="K31" i="1"/>
  <c r="K32" i="1"/>
  <c r="K33" i="1"/>
  <c r="K34" i="1"/>
  <c r="K35" i="1"/>
  <c r="K36" i="1"/>
  <c r="K37" i="1"/>
  <c r="K38" i="1"/>
  <c r="K39" i="1"/>
  <c r="K40" i="1"/>
  <c r="K5" i="1"/>
  <c r="K6" i="1"/>
  <c r="K7" i="1"/>
  <c r="K8" i="1"/>
  <c r="K9" i="1"/>
  <c r="K10" i="1"/>
  <c r="K11" i="1"/>
  <c r="K12" i="1"/>
  <c r="K13" i="1"/>
  <c r="K14" i="1"/>
  <c r="K15" i="1"/>
  <c r="K16" i="1"/>
  <c r="K17" i="1"/>
  <c r="K18" i="1"/>
  <c r="K19" i="1"/>
  <c r="K20" i="1"/>
  <c r="K21" i="1"/>
  <c r="K22" i="1"/>
  <c r="K23" i="1"/>
  <c r="K24" i="1"/>
  <c r="K4" i="1"/>
  <c r="G40" i="1"/>
  <c r="G5" i="1"/>
  <c r="G6" i="1"/>
  <c r="G7" i="1"/>
  <c r="G8" i="1"/>
  <c r="G9" i="1"/>
  <c r="G10" i="1"/>
  <c r="G11" i="1"/>
  <c r="G12" i="1"/>
  <c r="G13" i="1"/>
  <c r="G14" i="1"/>
  <c r="G15" i="1"/>
  <c r="G16" i="1"/>
  <c r="G17" i="1"/>
  <c r="G18" i="1"/>
  <c r="G19" i="1"/>
  <c r="G20" i="1"/>
  <c r="G21" i="1"/>
  <c r="G22" i="1"/>
  <c r="G23" i="1"/>
  <c r="G24" i="1"/>
  <c r="G25" i="1"/>
  <c r="G26" i="1"/>
  <c r="G27" i="1"/>
  <c r="G28" i="1"/>
  <c r="G29" i="1"/>
  <c r="G30" i="1"/>
  <c r="G31" i="1"/>
  <c r="G32" i="1"/>
  <c r="G33" i="1"/>
  <c r="G34" i="1"/>
  <c r="G35" i="1"/>
  <c r="G36" i="1"/>
  <c r="G37" i="1"/>
  <c r="G38" i="1"/>
  <c r="G39" i="1"/>
  <c r="G4" i="1"/>
  <c r="F5" i="1"/>
  <c r="F6" i="1"/>
  <c r="F7" i="1"/>
  <c r="F8" i="1"/>
  <c r="F9" i="1"/>
  <c r="F10" i="1"/>
  <c r="F11" i="1"/>
  <c r="F12" i="1"/>
  <c r="F13" i="1"/>
  <c r="F14" i="1"/>
  <c r="F15" i="1"/>
  <c r="F16" i="1"/>
  <c r="F17" i="1"/>
  <c r="F18" i="1"/>
  <c r="F19" i="1"/>
  <c r="F20" i="1"/>
  <c r="F21" i="1"/>
  <c r="F22" i="1"/>
  <c r="F23" i="1"/>
  <c r="F24" i="1"/>
  <c r="F25" i="1"/>
  <c r="F26" i="1"/>
  <c r="F27" i="1"/>
  <c r="F28" i="1"/>
  <c r="F29" i="1"/>
  <c r="F30" i="1"/>
  <c r="F31" i="1"/>
  <c r="F32" i="1"/>
  <c r="F33" i="1"/>
  <c r="F34" i="1"/>
  <c r="F35" i="1"/>
  <c r="F36" i="1"/>
  <c r="F37" i="1"/>
  <c r="F38" i="1"/>
  <c r="F39" i="1"/>
  <c r="F40" i="1"/>
  <c r="F4" i="1"/>
  <c r="D4" i="1"/>
  <c r="D5" i="1"/>
  <c r="D6" i="1"/>
  <c r="D7" i="1"/>
  <c r="D8" i="1"/>
  <c r="D9" i="1"/>
  <c r="D10" i="1"/>
  <c r="D11" i="1"/>
  <c r="D12" i="1"/>
  <c r="D13" i="1"/>
  <c r="D14" i="1"/>
  <c r="D15" i="1"/>
  <c r="D16" i="1"/>
  <c r="D17" i="1"/>
  <c r="D18" i="1"/>
  <c r="D19" i="1"/>
  <c r="D20" i="1"/>
  <c r="D21" i="1"/>
  <c r="D22" i="1"/>
  <c r="D23" i="1"/>
  <c r="D24" i="1"/>
  <c r="D25" i="1"/>
  <c r="D26" i="1"/>
  <c r="D27" i="1"/>
  <c r="D28" i="1"/>
  <c r="D29" i="1"/>
  <c r="D30" i="1"/>
  <c r="D31" i="1"/>
  <c r="D32" i="1"/>
  <c r="D33" i="1"/>
  <c r="D34" i="1"/>
  <c r="D35" i="1"/>
  <c r="D36" i="1"/>
  <c r="D37" i="1"/>
  <c r="D38" i="1"/>
  <c r="D39" i="1"/>
  <c r="D40" i="1"/>
  <c r="C23" i="1"/>
  <c r="C24" i="1"/>
  <c r="C25" i="1"/>
  <c r="C26" i="1"/>
  <c r="C27" i="1"/>
  <c r="C28" i="1"/>
  <c r="C29" i="1"/>
  <c r="C30" i="1"/>
  <c r="C31" i="1"/>
  <c r="C32" i="1"/>
  <c r="C33" i="1"/>
  <c r="C34" i="1"/>
  <c r="C35" i="1"/>
  <c r="C36" i="1"/>
  <c r="C37" i="1"/>
  <c r="C38" i="1"/>
  <c r="C39" i="1"/>
  <c r="C40" i="1"/>
  <c r="C5" i="1"/>
  <c r="C6" i="1"/>
  <c r="C7" i="1"/>
  <c r="C8" i="1"/>
  <c r="C9" i="1"/>
  <c r="C10" i="1"/>
  <c r="C11" i="1"/>
  <c r="C12" i="1"/>
  <c r="C13" i="1"/>
  <c r="C14" i="1"/>
  <c r="C15" i="1"/>
  <c r="C16" i="1"/>
  <c r="C17" i="1"/>
  <c r="C18" i="1"/>
  <c r="C19" i="1"/>
  <c r="C20" i="1"/>
  <c r="C21" i="1"/>
  <c r="C22" i="1"/>
  <c r="C4" i="1"/>
  <c r="H22" i="5" l="1"/>
  <c r="H9" i="5"/>
  <c r="H17" i="5"/>
  <c r="H25" i="5"/>
  <c r="H20" i="5"/>
  <c r="H21" i="5"/>
  <c r="Q7" i="5"/>
  <c r="Q8" i="5"/>
  <c r="Y10" i="5"/>
  <c r="Q15" i="5"/>
  <c r="Q16" i="5"/>
  <c r="Y18" i="5"/>
  <c r="Q23" i="5"/>
  <c r="Y26" i="5"/>
  <c r="H28" i="5"/>
  <c r="H37" i="5"/>
  <c r="Y4" i="5"/>
  <c r="Y12" i="5"/>
  <c r="Y20" i="5"/>
  <c r="Q26" i="5"/>
  <c r="H30" i="5"/>
  <c r="Q33" i="5"/>
  <c r="H38" i="5"/>
  <c r="H24" i="5"/>
  <c r="H4" i="5"/>
  <c r="Q9" i="5"/>
  <c r="Q10" i="5"/>
  <c r="H12" i="5"/>
  <c r="Q17" i="5"/>
  <c r="Q18" i="5"/>
  <c r="Q37" i="5"/>
  <c r="Q38" i="5"/>
  <c r="Q25" i="5"/>
  <c r="Q31" i="5"/>
  <c r="H36" i="5"/>
  <c r="H39" i="5"/>
  <c r="Q40" i="5"/>
  <c r="Q5" i="5"/>
  <c r="Q13" i="5"/>
  <c r="Q21" i="5"/>
  <c r="Q22" i="5"/>
  <c r="H26" i="5"/>
  <c r="H32" i="5"/>
  <c r="H33" i="5"/>
  <c r="Q34" i="5"/>
  <c r="H23" i="5"/>
  <c r="Q24" i="5"/>
  <c r="H29" i="5"/>
  <c r="Q30" i="5"/>
  <c r="H7" i="5"/>
  <c r="Y9" i="5"/>
  <c r="H15" i="5"/>
  <c r="Y17" i="5"/>
  <c r="Y23" i="5"/>
  <c r="Y24" i="5"/>
  <c r="H27" i="5"/>
  <c r="Q28" i="5"/>
  <c r="Y39" i="5"/>
  <c r="Y40" i="5"/>
  <c r="Y30" i="5"/>
  <c r="Y11" i="5"/>
  <c r="Y19" i="5"/>
  <c r="Y35" i="5"/>
  <c r="H6" i="5"/>
  <c r="H14" i="5"/>
  <c r="Y25" i="5"/>
  <c r="Y5" i="5"/>
  <c r="H11" i="5"/>
  <c r="Y13" i="5"/>
  <c r="H19" i="5"/>
  <c r="Q20" i="5"/>
  <c r="Y31" i="5"/>
  <c r="Y32" i="5"/>
  <c r="H35" i="5"/>
  <c r="Q36" i="5"/>
  <c r="Q6" i="5"/>
  <c r="H8" i="5"/>
  <c r="Y8" i="5"/>
  <c r="Q14" i="5"/>
  <c r="H16" i="5"/>
  <c r="Y16" i="5"/>
  <c r="Y21" i="5"/>
  <c r="Y37" i="5"/>
  <c r="Y38" i="5"/>
  <c r="H5" i="5"/>
  <c r="Y7" i="5"/>
  <c r="H13" i="5"/>
  <c r="Y15" i="5"/>
  <c r="Y27" i="5"/>
  <c r="Y28" i="5"/>
  <c r="H31" i="5"/>
  <c r="Q32" i="5"/>
  <c r="H16" i="4"/>
  <c r="H20" i="4"/>
  <c r="H15" i="4"/>
  <c r="H23" i="4"/>
  <c r="H31" i="4"/>
  <c r="Q6" i="4"/>
  <c r="Q13" i="4"/>
  <c r="Y23" i="4"/>
  <c r="Q28" i="4"/>
  <c r="H33" i="4"/>
  <c r="Q36" i="4"/>
  <c r="H11" i="4"/>
  <c r="H4" i="4"/>
  <c r="H28" i="4"/>
  <c r="Q30" i="4"/>
  <c r="H6" i="4"/>
  <c r="H7" i="4"/>
  <c r="Q9" i="4"/>
  <c r="H13" i="4"/>
  <c r="H14" i="4"/>
  <c r="H29" i="4"/>
  <c r="H18" i="4"/>
  <c r="Y17" i="4"/>
  <c r="H26" i="4"/>
  <c r="Y12" i="4"/>
  <c r="H21" i="4"/>
  <c r="Y34" i="4"/>
  <c r="H9" i="4"/>
  <c r="Q10" i="4"/>
  <c r="Q17" i="4"/>
  <c r="Y35" i="4"/>
  <c r="Y6" i="4"/>
  <c r="Q4" i="4"/>
  <c r="Y7" i="4"/>
  <c r="Y28" i="4"/>
  <c r="H24" i="4"/>
  <c r="Q26" i="4"/>
  <c r="Q34" i="4"/>
  <c r="H17" i="4"/>
  <c r="Y22" i="4"/>
  <c r="H8" i="4"/>
  <c r="Q16" i="4"/>
  <c r="Q22" i="4"/>
  <c r="Q29" i="4"/>
  <c r="Q37" i="4"/>
  <c r="Q5" i="4"/>
  <c r="Q11" i="4"/>
  <c r="Q18" i="4"/>
  <c r="Q24" i="4"/>
  <c r="Q31" i="4"/>
  <c r="H38" i="4"/>
  <c r="Q39" i="4"/>
  <c r="Q40" i="4"/>
  <c r="Q12" i="4"/>
  <c r="Q19" i="4"/>
  <c r="Q25" i="4"/>
  <c r="H30" i="4"/>
  <c r="Q32" i="4"/>
  <c r="Q33" i="4"/>
  <c r="Q7" i="4"/>
  <c r="H12" i="4"/>
  <c r="Q14" i="4"/>
  <c r="Q20" i="4"/>
  <c r="Q8" i="4"/>
  <c r="Q15" i="4"/>
  <c r="Q21" i="4"/>
  <c r="Q27" i="4"/>
  <c r="Q35" i="4"/>
  <c r="Y4" i="4"/>
  <c r="Y15" i="4"/>
  <c r="Y20" i="4"/>
  <c r="Y31" i="4"/>
  <c r="Y39" i="4"/>
  <c r="Y5" i="4"/>
  <c r="Y10" i="4"/>
  <c r="Y21" i="4"/>
  <c r="Y26" i="4"/>
  <c r="Y32" i="4"/>
  <c r="H36" i="4"/>
  <c r="Q38" i="4"/>
  <c r="Y40" i="4"/>
  <c r="Y11" i="4"/>
  <c r="Y16" i="4"/>
  <c r="Y27" i="4"/>
  <c r="Y33" i="4"/>
  <c r="H19" i="4"/>
  <c r="H37" i="4"/>
  <c r="H5" i="4"/>
  <c r="Y13" i="4"/>
  <c r="Y18" i="4"/>
  <c r="H25" i="4"/>
  <c r="Y29" i="4"/>
  <c r="H32" i="4"/>
  <c r="Y36" i="4"/>
  <c r="H40" i="4"/>
  <c r="Y8" i="4"/>
  <c r="Y19" i="4"/>
  <c r="Y24" i="4"/>
  <c r="Y37" i="4"/>
  <c r="Y9" i="4"/>
  <c r="Y14" i="4"/>
  <c r="Y25" i="4"/>
  <c r="Y30" i="4"/>
  <c r="H34" i="4"/>
  <c r="Y38" i="4"/>
  <c r="Y17" i="3"/>
  <c r="Y25" i="3"/>
  <c r="Y33" i="3"/>
  <c r="Q39" i="3"/>
  <c r="Q23" i="3"/>
  <c r="Q31" i="3"/>
  <c r="Q7" i="3"/>
  <c r="Q15" i="3"/>
  <c r="Y5" i="3"/>
  <c r="Q10" i="3"/>
  <c r="Y13" i="3"/>
  <c r="H17" i="3"/>
  <c r="Q18" i="3"/>
  <c r="Y21" i="3"/>
  <c r="H25" i="3"/>
  <c r="Q26" i="3"/>
  <c r="Y29" i="3"/>
  <c r="Q34" i="3"/>
  <c r="Q11" i="3"/>
  <c r="Q19" i="3"/>
  <c r="Y7" i="3"/>
  <c r="Y15" i="3"/>
  <c r="Y23" i="3"/>
  <c r="Y31" i="3"/>
  <c r="Y19" i="3"/>
  <c r="Y27" i="3"/>
  <c r="Y35" i="3"/>
  <c r="Y10" i="3"/>
  <c r="Y4" i="3"/>
  <c r="H8" i="3"/>
  <c r="Q9" i="3"/>
  <c r="Y12" i="3"/>
  <c r="H16" i="3"/>
  <c r="Q17" i="3"/>
  <c r="Q25" i="3"/>
  <c r="Q33" i="3"/>
  <c r="Y37" i="3"/>
  <c r="Q27" i="3"/>
  <c r="Q35" i="3"/>
  <c r="Q4" i="3"/>
  <c r="H11" i="3"/>
  <c r="Q12" i="3"/>
  <c r="H19" i="3"/>
  <c r="Q20" i="3"/>
  <c r="H27" i="3"/>
  <c r="Q28" i="3"/>
  <c r="H35" i="3"/>
  <c r="Q36" i="3"/>
  <c r="Q6" i="3"/>
  <c r="Q14" i="3"/>
  <c r="Q22" i="3"/>
  <c r="Q30" i="3"/>
  <c r="Q38" i="3"/>
  <c r="Q8" i="3"/>
  <c r="Q16" i="3"/>
  <c r="H23" i="3"/>
  <c r="Q24" i="3"/>
  <c r="H31" i="3"/>
  <c r="Q32" i="3"/>
  <c r="H39" i="3"/>
  <c r="H4" i="3"/>
  <c r="Y8" i="3"/>
  <c r="H12" i="3"/>
  <c r="Y16" i="3"/>
  <c r="H20" i="3"/>
  <c r="Y24" i="3"/>
  <c r="H28" i="3"/>
  <c r="Y32" i="3"/>
  <c r="H36" i="3"/>
  <c r="H40" i="3"/>
  <c r="Y40" i="3"/>
  <c r="H5" i="3"/>
  <c r="Y9" i="3"/>
  <c r="H13" i="3"/>
  <c r="H21" i="3"/>
  <c r="H6" i="3"/>
  <c r="H14" i="3"/>
  <c r="Y18" i="3"/>
  <c r="H22" i="3"/>
  <c r="Y26" i="3"/>
  <c r="H30" i="3"/>
  <c r="Y34" i="3"/>
  <c r="H38" i="3"/>
  <c r="H7" i="3"/>
  <c r="Y11" i="3"/>
  <c r="H15" i="3"/>
  <c r="Y20" i="3"/>
  <c r="H24" i="3"/>
  <c r="Y28" i="3"/>
  <c r="H32" i="3"/>
  <c r="Y36" i="3"/>
  <c r="Q40" i="3"/>
  <c r="H9" i="3"/>
  <c r="H33" i="3"/>
  <c r="Y6" i="3"/>
  <c r="H10" i="3"/>
  <c r="Y14" i="3"/>
  <c r="H18" i="3"/>
  <c r="Y22" i="3"/>
  <c r="H26" i="3"/>
  <c r="Y30" i="3"/>
  <c r="H34" i="3"/>
  <c r="Y38" i="3"/>
  <c r="H34" i="1"/>
  <c r="H26" i="1"/>
  <c r="H39" i="1"/>
  <c r="H31" i="1"/>
  <c r="H7" i="1"/>
  <c r="Q32" i="1"/>
  <c r="Y39" i="1"/>
  <c r="Q40" i="1"/>
  <c r="Y11" i="1"/>
  <c r="Q19" i="1"/>
  <c r="Q11" i="1"/>
  <c r="Q39" i="1"/>
  <c r="Q31" i="1"/>
  <c r="Q33" i="1"/>
  <c r="Q25" i="1"/>
  <c r="Q17" i="1"/>
  <c r="Q9" i="1"/>
  <c r="Y23" i="1"/>
  <c r="Q16" i="1"/>
  <c r="Q8" i="1"/>
  <c r="Q12" i="1"/>
  <c r="Q23" i="1"/>
  <c r="Q15" i="1"/>
  <c r="Q7" i="1"/>
  <c r="Q35" i="1"/>
  <c r="Q27" i="1"/>
  <c r="Y22" i="1"/>
  <c r="Q34" i="1"/>
  <c r="Q26" i="1"/>
  <c r="Q37" i="1"/>
  <c r="Q21" i="1"/>
  <c r="Q5" i="1"/>
  <c r="Q18" i="1"/>
  <c r="Q10" i="1"/>
  <c r="Q24" i="1"/>
  <c r="Q29" i="1"/>
  <c r="Q13" i="1"/>
  <c r="Q36" i="1"/>
  <c r="Q28" i="1"/>
  <c r="Q20" i="1"/>
  <c r="Y31" i="1"/>
  <c r="Y37" i="1"/>
  <c r="Q38" i="1"/>
  <c r="Q30" i="1"/>
  <c r="Q22" i="1"/>
  <c r="Q14" i="1"/>
  <c r="Q6" i="1"/>
  <c r="Y15" i="1"/>
  <c r="Y7" i="1"/>
  <c r="Y38" i="1"/>
  <c r="Q4" i="1"/>
  <c r="H4" i="1"/>
  <c r="Y16" i="1"/>
  <c r="Y8" i="1"/>
  <c r="Y24" i="1"/>
  <c r="Y40" i="1"/>
  <c r="Y32" i="1"/>
  <c r="Y30" i="1"/>
  <c r="Y25" i="1"/>
  <c r="Y29" i="1"/>
  <c r="Y18" i="1"/>
  <c r="Y10" i="1"/>
  <c r="Y34" i="1"/>
  <c r="Y26" i="1"/>
  <c r="Y9" i="1"/>
  <c r="Y17" i="1"/>
  <c r="Y33" i="1"/>
  <c r="Y20" i="1"/>
  <c r="Y28" i="1"/>
  <c r="Y36" i="1"/>
  <c r="Y13" i="1"/>
  <c r="Y5" i="1"/>
  <c r="Y21" i="1"/>
  <c r="Y35" i="1"/>
  <c r="Y27" i="1"/>
  <c r="Y19" i="1"/>
  <c r="Y14" i="1"/>
  <c r="Y6" i="1"/>
  <c r="Y12" i="1"/>
  <c r="Y4" i="1"/>
</calcChain>
</file>

<file path=xl/sharedStrings.xml><?xml version="1.0" encoding="utf-8"?>
<sst xmlns="http://schemas.openxmlformats.org/spreadsheetml/2006/main" count="64" uniqueCount="14">
  <si>
    <t>弯矩计算</t>
    <phoneticPr fontId="1" type="noConversion"/>
  </si>
  <si>
    <t>角度</t>
    <phoneticPr fontId="1" type="noConversion"/>
  </si>
  <si>
    <t>总弯矩</t>
    <phoneticPr fontId="1" type="noConversion"/>
  </si>
  <si>
    <t>g</t>
    <phoneticPr fontId="1" type="noConversion"/>
  </si>
  <si>
    <t>Rh</t>
    <phoneticPr fontId="1" type="noConversion"/>
  </si>
  <si>
    <t>q</t>
    <phoneticPr fontId="1" type="noConversion"/>
  </si>
  <si>
    <t>Pr</t>
    <phoneticPr fontId="1" type="noConversion"/>
  </si>
  <si>
    <t>e1</t>
    <phoneticPr fontId="1" type="noConversion"/>
  </si>
  <si>
    <t>e2</t>
    <phoneticPr fontId="1" type="noConversion"/>
  </si>
  <si>
    <t>Pk</t>
    <phoneticPr fontId="1" type="noConversion"/>
  </si>
  <si>
    <t>轴力计算</t>
    <phoneticPr fontId="1" type="noConversion"/>
  </si>
  <si>
    <t>总轴力</t>
    <phoneticPr fontId="1" type="noConversion"/>
  </si>
  <si>
    <t>总剪力</t>
    <phoneticPr fontId="1" type="noConversion"/>
  </si>
  <si>
    <t>剪力计算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</si>
</sst>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.00_ "/>
  </numFmts>
  <fonts count="5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b/>
      <sz val="11"/>
      <color theme="1"/>
      <name val="等线"/>
      <family val="3"/>
      <charset val="134"/>
      <scheme val="minor"/>
    </font>
    <font>
      <b/>
      <sz val="12"/>
      <color theme="1"/>
      <name val="等线"/>
      <family val="3"/>
      <charset val="134"/>
      <scheme val="minor"/>
    </font>
    <font>
      <b/>
      <sz val="11"/>
      <color rgb="FFFF0000"/>
      <name val="等线"/>
      <family val="3"/>
      <charset val="134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7"/>
        <bgColor indexed="64"/>
      </patternFill>
    </fill>
  </fills>
  <borders count="18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34">
    <xf numFmtId="0" fontId="0" fillId="0" borderId="0" xfId="0"/>
    <xf numFmtId="0" fontId="0" fillId="0" borderId="4" xfId="0" applyBorder="1" applyAlignment="1">
      <alignment horizontal="center"/>
    </xf>
    <xf numFmtId="0" fontId="0" fillId="0" borderId="0" xfId="0" applyBorder="1" applyAlignment="1">
      <alignment horizontal="center"/>
    </xf>
    <xf numFmtId="0" fontId="3" fillId="0" borderId="1" xfId="0" applyFont="1" applyBorder="1" applyAlignment="1">
      <alignment horizontal="center"/>
    </xf>
    <xf numFmtId="0" fontId="3" fillId="0" borderId="2" xfId="0" applyFont="1" applyBorder="1" applyAlignment="1">
      <alignment horizontal="center"/>
    </xf>
    <xf numFmtId="0" fontId="2" fillId="2" borderId="6" xfId="0" applyFont="1" applyFill="1" applyBorder="1"/>
    <xf numFmtId="0" fontId="2" fillId="0" borderId="7" xfId="0" applyFont="1" applyBorder="1" applyAlignment="1">
      <alignment horizontal="center"/>
    </xf>
    <xf numFmtId="0" fontId="0" fillId="0" borderId="7" xfId="0" applyBorder="1"/>
    <xf numFmtId="0" fontId="2" fillId="2" borderId="7" xfId="0" applyFont="1" applyFill="1" applyBorder="1" applyAlignment="1">
      <alignment horizontal="center"/>
    </xf>
    <xf numFmtId="0" fontId="2" fillId="2" borderId="7" xfId="0" applyFont="1" applyFill="1" applyBorder="1"/>
    <xf numFmtId="0" fontId="0" fillId="0" borderId="8" xfId="0" applyBorder="1"/>
    <xf numFmtId="0" fontId="0" fillId="0" borderId="9" xfId="0" applyBorder="1"/>
    <xf numFmtId="0" fontId="0" fillId="0" borderId="0" xfId="0" applyBorder="1"/>
    <xf numFmtId="0" fontId="0" fillId="0" borderId="10" xfId="0" applyBorder="1"/>
    <xf numFmtId="0" fontId="3" fillId="0" borderId="11" xfId="0" applyFont="1" applyBorder="1" applyAlignment="1">
      <alignment horizontal="center"/>
    </xf>
    <xf numFmtId="0" fontId="0" fillId="0" borderId="9" xfId="0" applyBorder="1" applyAlignment="1">
      <alignment horizontal="center"/>
    </xf>
    <xf numFmtId="0" fontId="0" fillId="0" borderId="12" xfId="0" applyBorder="1" applyAlignment="1">
      <alignment horizontal="center"/>
    </xf>
    <xf numFmtId="0" fontId="0" fillId="0" borderId="13" xfId="0" applyBorder="1"/>
    <xf numFmtId="0" fontId="0" fillId="0" borderId="15" xfId="0" applyBorder="1" applyAlignment="1">
      <alignment horizontal="center"/>
    </xf>
    <xf numFmtId="0" fontId="3" fillId="3" borderId="3" xfId="0" applyFont="1" applyFill="1" applyBorder="1" applyAlignment="1">
      <alignment horizontal="center"/>
    </xf>
    <xf numFmtId="0" fontId="3" fillId="3" borderId="17" xfId="0" applyFont="1" applyFill="1" applyBorder="1" applyAlignment="1">
      <alignment horizontal="center"/>
    </xf>
    <xf numFmtId="176" fontId="0" fillId="0" borderId="0" xfId="0" applyNumberFormat="1" applyBorder="1" applyAlignment="1">
      <alignment horizontal="center"/>
    </xf>
    <xf numFmtId="176" fontId="0" fillId="0" borderId="5" xfId="0" applyNumberFormat="1" applyBorder="1" applyAlignment="1">
      <alignment horizontal="center"/>
    </xf>
    <xf numFmtId="176" fontId="0" fillId="0" borderId="13" xfId="0" applyNumberFormat="1" applyBorder="1" applyAlignment="1">
      <alignment horizontal="center"/>
    </xf>
    <xf numFmtId="0" fontId="4" fillId="0" borderId="0" xfId="0" applyFont="1" applyBorder="1" applyAlignment="1">
      <alignment horizontal="center"/>
    </xf>
    <xf numFmtId="176" fontId="0" fillId="0" borderId="10" xfId="0" applyNumberFormat="1" applyBorder="1" applyAlignment="1">
      <alignment horizontal="center"/>
    </xf>
    <xf numFmtId="176" fontId="0" fillId="0" borderId="16" xfId="0" applyNumberFormat="1" applyBorder="1" applyAlignment="1">
      <alignment horizontal="center"/>
    </xf>
    <xf numFmtId="176" fontId="0" fillId="2" borderId="5" xfId="0" applyNumberFormat="1" applyFill="1" applyBorder="1" applyAlignment="1">
      <alignment horizontal="center"/>
    </xf>
    <xf numFmtId="176" fontId="2" fillId="2" borderId="5" xfId="0" applyNumberFormat="1" applyFont="1" applyFill="1" applyBorder="1" applyAlignment="1">
      <alignment horizontal="center"/>
    </xf>
    <xf numFmtId="176" fontId="2" fillId="2" borderId="14" xfId="0" applyNumberFormat="1" applyFont="1" applyFill="1" applyBorder="1" applyAlignment="1">
      <alignment horizontal="center"/>
    </xf>
    <xf numFmtId="176" fontId="0" fillId="0" borderId="0" xfId="0" applyNumberFormat="1" applyFill="1" applyBorder="1" applyAlignment="1">
      <alignment horizontal="center"/>
    </xf>
    <xf numFmtId="176" fontId="0" fillId="2" borderId="10" xfId="0" applyNumberFormat="1" applyFill="1" applyBorder="1" applyAlignment="1">
      <alignment horizontal="center"/>
    </xf>
    <xf numFmtId="176" fontId="0" fillId="4" borderId="5" xfId="0" applyNumberFormat="1" applyFill="1" applyBorder="1" applyAlignment="1">
      <alignment horizontal="center"/>
    </xf>
    <xf numFmtId="176" fontId="0" fillId="5" borderId="5" xfId="0" applyNumberFormat="1" applyFill="1" applyBorder="1" applyAlignment="1">
      <alignment horizont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val>
            <c:numRef>
              <c:f>Sheet4!$H$4:$H$40</c:f>
              <c:numCache>
                <c:formatCode>0.00_ </c:formatCode>
                <c:ptCount val="37"/>
                <c:pt idx="0">
                  <c:v>174.22122533750004</c:v>
                </c:pt>
                <c:pt idx="1">
                  <c:v>171.59242452338179</c:v>
                </c:pt>
                <c:pt idx="2">
                  <c:v>163.78875617479085</c:v>
                </c:pt>
                <c:pt idx="3">
                  <c:v>151.05547410452064</c:v>
                </c:pt>
                <c:pt idx="4">
                  <c:v>133.79163539232465</c:v>
                </c:pt>
                <c:pt idx="5">
                  <c:v>112.53599607418403</c:v>
                </c:pt>
                <c:pt idx="6">
                  <c:v>87.948130461391244</c:v>
                </c:pt>
                <c:pt idx="7">
                  <c:v>60.785585230020281</c:v>
                </c:pt>
                <c:pt idx="8">
                  <c:v>31.878037324250837</c:v>
                </c:pt>
                <c:pt idx="9">
                  <c:v>2.0995332771968545</c:v>
                </c:pt>
                <c:pt idx="10">
                  <c:v>-27.660058025821829</c:v>
                </c:pt>
                <c:pt idx="11">
                  <c:v>-56.524728488685724</c:v>
                </c:pt>
                <c:pt idx="12">
                  <c:v>-83.657726023889552</c:v>
                </c:pt>
                <c:pt idx="13">
                  <c:v>-108.28654236891434</c:v>
                </c:pt>
                <c:pt idx="14">
                  <c:v>-129.72382421311801</c:v>
                </c:pt>
                <c:pt idx="15">
                  <c:v>-147.38457589698157</c:v>
                </c:pt>
                <c:pt idx="16">
                  <c:v>-160.79902388108252</c:v>
                </c:pt>
                <c:pt idx="17">
                  <c:v>-169.62092191067688</c:v>
                </c:pt>
                <c:pt idx="18">
                  <c:v>-173.63128884819662</c:v>
                </c:pt>
                <c:pt idx="19">
                  <c:v>-172.73848898319596</c:v>
                </c:pt>
                <c:pt idx="20">
                  <c:v>-166.98144522361517</c:v>
                </c:pt>
                <c:pt idx="21">
                  <c:v>-156.52902552917502</c:v>
                </c:pt>
                <c:pt idx="22">
                  <c:v>-141.66875815479526</c:v>
                </c:pt>
                <c:pt idx="23">
                  <c:v>-122.79200823682656</c:v>
                </c:pt>
                <c:pt idx="24">
                  <c:v>-100.37708421120664</c:v>
                </c:pt>
                <c:pt idx="25">
                  <c:v>-74.971024331251229</c:v>
                </c:pt>
                <c:pt idx="26">
                  <c:v>-47.17077713767592</c:v>
                </c:pt>
                <c:pt idx="27">
                  <c:v>-17.604422658842573</c:v>
                </c:pt>
                <c:pt idx="28">
                  <c:v>13.087008920114334</c:v>
                </c:pt>
                <c:pt idx="29">
                  <c:v>44.266668789231375</c:v>
                </c:pt>
                <c:pt idx="30">
                  <c:v>75.317628857255798</c:v>
                </c:pt>
                <c:pt idx="31">
                  <c:v>105.65699356295661</c:v>
                </c:pt>
                <c:pt idx="32">
                  <c:v>134.74824554499827</c:v>
                </c:pt>
                <c:pt idx="33">
                  <c:v>162.11176708598873</c:v>
                </c:pt>
                <c:pt idx="34">
                  <c:v>187.33353955807689</c:v>
                </c:pt>
                <c:pt idx="35">
                  <c:v>210.07206131334476</c:v>
                </c:pt>
                <c:pt idx="36">
                  <c:v>230.0635408774998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480-4FD5-8FD4-62A3FAC2619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497771680"/>
        <c:axId val="497774176"/>
      </c:barChart>
      <c:catAx>
        <c:axId val="49777168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497774176"/>
        <c:crosses val="autoZero"/>
        <c:auto val="1"/>
        <c:lblAlgn val="ctr"/>
        <c:lblOffset val="100"/>
        <c:noMultiLvlLbl val="0"/>
      </c:catAx>
      <c:valAx>
        <c:axId val="49777417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_ 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49777168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val>
            <c:numRef>
              <c:f>Sheet4!$Q$4:$Q$40</c:f>
              <c:numCache>
                <c:formatCode>0.00_ </c:formatCode>
                <c:ptCount val="37"/>
                <c:pt idx="0">
                  <c:v>308.21069125000002</c:v>
                </c:pt>
                <c:pt idx="1">
                  <c:v>310.8182612013801</c:v>
                </c:pt>
                <c:pt idx="2">
                  <c:v>318.56864035565616</c:v>
                </c:pt>
                <c:pt idx="3">
                  <c:v>331.24744652459555</c:v>
                </c:pt>
                <c:pt idx="4">
                  <c:v>348.50595373918611</c:v>
                </c:pt>
                <c:pt idx="5">
                  <c:v>369.87353846505232</c:v>
                </c:pt>
                <c:pt idx="6">
                  <c:v>394.77428773036939</c:v>
                </c:pt>
                <c:pt idx="7">
                  <c:v>422.54700715536922</c:v>
                </c:pt>
                <c:pt idx="8">
                  <c:v>452.467723327523</c:v>
                </c:pt>
                <c:pt idx="9">
                  <c:v>483.7736807113622</c:v>
                </c:pt>
                <c:pt idx="10">
                  <c:v>515.68779273902953</c:v>
                </c:pt>
                <c:pt idx="11">
                  <c:v>547.4425210787291</c:v>
                </c:pt>
                <c:pt idx="12">
                  <c:v>578.3022242288896</c:v>
                </c:pt>
                <c:pt idx="13">
                  <c:v>607.58313133952754</c:v>
                </c:pt>
                <c:pt idx="14">
                  <c:v>634.67025159075831</c:v>
                </c:pt>
                <c:pt idx="15">
                  <c:v>659.0307134431057</c:v>
                </c:pt>
                <c:pt idx="16">
                  <c:v>680.22322998155005</c:v>
                </c:pt>
                <c:pt idx="17">
                  <c:v>697.90359402011802</c:v>
                </c:pt>
                <c:pt idx="18">
                  <c:v>711.8263072806966</c:v>
                </c:pt>
                <c:pt idx="19">
                  <c:v>721.70580534094222</c:v>
                </c:pt>
                <c:pt idx="20">
                  <c:v>727.35547930847099</c:v>
                </c:pt>
                <c:pt idx="21">
                  <c:v>728.82387264066756</c:v>
                </c:pt>
                <c:pt idx="22">
                  <c:v>726.24751597715181</c:v>
                </c:pt>
                <c:pt idx="23">
                  <c:v>719.83885172986663</c:v>
                </c:pt>
                <c:pt idx="24">
                  <c:v>709.87311966493451</c:v>
                </c:pt>
                <c:pt idx="25">
                  <c:v>696.67486368939831</c:v>
                </c:pt>
                <c:pt idx="26">
                  <c:v>680.60464895110169</c:v>
                </c:pt>
                <c:pt idx="27">
                  <c:v>662.04647972277201</c:v>
                </c:pt>
                <c:pt idx="28">
                  <c:v>641.39629142037177</c:v>
                </c:pt>
                <c:pt idx="29">
                  <c:v>619.05176432809822</c:v>
                </c:pt>
                <c:pt idx="30">
                  <c:v>595.40358205032726</c:v>
                </c:pt>
                <c:pt idx="31">
                  <c:v>570.82814361123474</c:v>
                </c:pt>
                <c:pt idx="32">
                  <c:v>545.68164239905434</c:v>
                </c:pt>
                <c:pt idx="33">
                  <c:v>520.29535388218073</c:v>
                </c:pt>
                <c:pt idx="34">
                  <c:v>494.97193104454703</c:v>
                </c:pt>
                <c:pt idx="35">
                  <c:v>469.98249316449755</c:v>
                </c:pt>
                <c:pt idx="36">
                  <c:v>445.56430875000007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52F-4E50-8F99-298E8A8C2FB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525064752"/>
        <c:axId val="525063504"/>
      </c:barChart>
      <c:catAx>
        <c:axId val="52506475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525063504"/>
        <c:crosses val="autoZero"/>
        <c:auto val="1"/>
        <c:lblAlgn val="ctr"/>
        <c:lblOffset val="100"/>
        <c:noMultiLvlLbl val="0"/>
      </c:catAx>
      <c:valAx>
        <c:axId val="52506350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_ 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52506475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val>
            <c:numRef>
              <c:f>Sheet4!$Y$4:$Y$40</c:f>
              <c:numCache>
                <c:formatCode>0.00_ </c:formatCode>
                <c:ptCount val="37"/>
                <c:pt idx="0">
                  <c:v>0</c:v>
                </c:pt>
                <c:pt idx="1">
                  <c:v>-28.736390211306997</c:v>
                </c:pt>
                <c:pt idx="2">
                  <c:v>-56.72962762432153</c:v>
                </c:pt>
                <c:pt idx="3">
                  <c:v>-83.24991254771345</c:v>
                </c:pt>
                <c:pt idx="4">
                  <c:v>-107.59431171979938</c:v>
                </c:pt>
                <c:pt idx="5">
                  <c:v>-129.10054960712748</c:v>
                </c:pt>
                <c:pt idx="6">
                  <c:v>-147.16111436828581</c:v>
                </c:pt>
                <c:pt idx="7">
                  <c:v>-161.2376028761818</c:v>
                </c:pt>
                <c:pt idx="8">
                  <c:v>-170.87509605064679</c:v>
                </c:pt>
                <c:pt idx="9">
                  <c:v>-175.71621434629839</c:v>
                </c:pt>
                <c:pt idx="10">
                  <c:v>-175.33174857976746</c:v>
                </c:pt>
                <c:pt idx="11">
                  <c:v>-169.95883203615375</c:v>
                </c:pt>
                <c:pt idx="12">
                  <c:v>-159.43734403294189</c:v>
                </c:pt>
                <c:pt idx="13">
                  <c:v>-143.91703622729079</c:v>
                </c:pt>
                <c:pt idx="14">
                  <c:v>-123.6899443832899</c:v>
                </c:pt>
                <c:pt idx="15">
                  <c:v>-99.189422108946687</c:v>
                </c:pt>
                <c:pt idx="16">
                  <c:v>-70.984500098812646</c:v>
                </c:pt>
                <c:pt idx="17">
                  <c:v>-39.769241093577961</c:v>
                </c:pt>
                <c:pt idx="18">
                  <c:v>-6.3469820142314797</c:v>
                </c:pt>
                <c:pt idx="19">
                  <c:v>28.352784441482065</c:v>
                </c:pt>
                <c:pt idx="20">
                  <c:v>63.188579383471179</c:v>
                </c:pt>
                <c:pt idx="21">
                  <c:v>96.955693571217111</c:v>
                </c:pt>
                <c:pt idx="22">
                  <c:v>128.46408247932197</c:v>
                </c:pt>
                <c:pt idx="23">
                  <c:v>156.579856080139</c:v>
                </c:pt>
                <c:pt idx="24">
                  <c:v>180.26637619038621</c:v>
                </c:pt>
                <c:pt idx="25">
                  <c:v>198.62328067309281</c:v>
                </c:pt>
                <c:pt idx="26">
                  <c:v>210.92174758402203</c:v>
                </c:pt>
                <c:pt idx="27">
                  <c:v>216.63439166305272</c:v>
                </c:pt>
                <c:pt idx="28">
                  <c:v>215.458350475087</c:v>
                </c:pt>
                <c:pt idx="29">
                  <c:v>207.33036297280523</c:v>
                </c:pt>
                <c:pt idx="30">
                  <c:v>192.43295930063408</c:v>
                </c:pt>
                <c:pt idx="31">
                  <c:v>171.19125282038613</c:v>
                </c:pt>
                <c:pt idx="32">
                  <c:v>144.26023543805479</c:v>
                </c:pt>
                <c:pt idx="33">
                  <c:v>112.50290448050238</c:v>
                </c:pt>
                <c:pt idx="34">
                  <c:v>76.959971257266687</c:v>
                </c:pt>
                <c:pt idx="35">
                  <c:v>38.812295525257547</c:v>
                </c:pt>
                <c:pt idx="36">
                  <c:v>-0.66246499170397199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9A6-4F64-8506-8610A0D9EC9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486971744"/>
        <c:axId val="486975072"/>
      </c:barChart>
      <c:catAx>
        <c:axId val="48697174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486975072"/>
        <c:crosses val="autoZero"/>
        <c:auto val="1"/>
        <c:lblAlgn val="ctr"/>
        <c:lblOffset val="100"/>
        <c:noMultiLvlLbl val="0"/>
      </c:catAx>
      <c:valAx>
        <c:axId val="48697507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_ 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48697174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25</xdr:col>
      <xdr:colOff>43542</xdr:colOff>
      <xdr:row>0</xdr:row>
      <xdr:rowOff>0</xdr:rowOff>
    </xdr:from>
    <xdr:to>
      <xdr:col>32</xdr:col>
      <xdr:colOff>348342</xdr:colOff>
      <xdr:row>15</xdr:row>
      <xdr:rowOff>108857</xdr:rowOff>
    </xdr:to>
    <xdr:graphicFrame macro="">
      <xdr:nvGraphicFramePr>
        <xdr:cNvPr id="2" name="图表 1">
          <a:extLst>
            <a:ext uri="{FF2B5EF4-FFF2-40B4-BE49-F238E27FC236}">
              <a16:creationId xmlns:a16="http://schemas.microsoft.com/office/drawing/2014/main" id="{3085F80D-252C-414A-B5C7-E3B15333AB8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25</xdr:col>
      <xdr:colOff>54428</xdr:colOff>
      <xdr:row>15</xdr:row>
      <xdr:rowOff>108857</xdr:rowOff>
    </xdr:from>
    <xdr:to>
      <xdr:col>32</xdr:col>
      <xdr:colOff>359228</xdr:colOff>
      <xdr:row>31</xdr:row>
      <xdr:rowOff>65314</xdr:rowOff>
    </xdr:to>
    <xdr:graphicFrame macro="">
      <xdr:nvGraphicFramePr>
        <xdr:cNvPr id="3" name="图表 2">
          <a:extLst>
            <a:ext uri="{FF2B5EF4-FFF2-40B4-BE49-F238E27FC236}">
              <a16:creationId xmlns:a16="http://schemas.microsoft.com/office/drawing/2014/main" id="{3937E1FB-FAC0-4CFB-8838-AAA2182FA13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25</xdr:col>
      <xdr:colOff>76200</xdr:colOff>
      <xdr:row>31</xdr:row>
      <xdr:rowOff>21772</xdr:rowOff>
    </xdr:from>
    <xdr:to>
      <xdr:col>32</xdr:col>
      <xdr:colOff>381000</xdr:colOff>
      <xdr:row>46</xdr:row>
      <xdr:rowOff>141515</xdr:rowOff>
    </xdr:to>
    <xdr:graphicFrame macro="">
      <xdr:nvGraphicFramePr>
        <xdr:cNvPr id="4" name="图表 3">
          <a:extLst>
            <a:ext uri="{FF2B5EF4-FFF2-40B4-BE49-F238E27FC236}">
              <a16:creationId xmlns:a16="http://schemas.microsoft.com/office/drawing/2014/main" id="{ACB18FEE-1BC3-43F6-B119-931457B3B77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Y43"/>
  <sheetViews>
    <sheetView zoomScale="70" zoomScaleNormal="70" workbookViewId="0">
      <selection activeCell="D39" sqref="D39"/>
    </sheetView>
  </sheetViews>
  <sheetFormatPr defaultRowHeight="13.8" x14ac:dyDescent="0.25"/>
  <sheetData>
    <row r="1" spans="1:25" x14ac:dyDescent="0.25">
      <c r="A1" s="5" t="s">
        <v>0</v>
      </c>
      <c r="B1" s="6" t="s">
        <v>3</v>
      </c>
      <c r="C1" s="6" t="s">
        <v>4</v>
      </c>
      <c r="D1" s="6" t="s">
        <v>5</v>
      </c>
      <c r="E1" s="6" t="s">
        <v>6</v>
      </c>
      <c r="F1" s="6" t="s">
        <v>7</v>
      </c>
      <c r="G1" s="6" t="s">
        <v>8</v>
      </c>
      <c r="H1" s="6" t="s">
        <v>9</v>
      </c>
      <c r="I1" s="7"/>
      <c r="J1" s="8" t="s">
        <v>10</v>
      </c>
      <c r="K1" s="7"/>
      <c r="L1" s="7"/>
      <c r="M1" s="7"/>
      <c r="N1" s="7"/>
      <c r="O1" s="7"/>
      <c r="P1" s="7"/>
      <c r="Q1" s="7"/>
      <c r="R1" s="7"/>
      <c r="S1" s="9" t="s">
        <v>13</v>
      </c>
      <c r="T1" s="7"/>
      <c r="U1" s="7"/>
      <c r="V1" s="7"/>
      <c r="W1" s="7"/>
      <c r="X1" s="7"/>
      <c r="Y1" s="10"/>
    </row>
    <row r="2" spans="1:25" x14ac:dyDescent="0.25">
      <c r="A2" s="11"/>
      <c r="B2" s="2">
        <v>13.125</v>
      </c>
      <c r="C2" s="2">
        <v>2.75</v>
      </c>
      <c r="D2" s="2">
        <v>211.34</v>
      </c>
      <c r="E2" s="2">
        <v>224.465</v>
      </c>
      <c r="F2" s="2">
        <v>146.63</v>
      </c>
      <c r="G2" s="2">
        <v>98.95</v>
      </c>
      <c r="H2" s="2">
        <v>7.5999999999999998E-2</v>
      </c>
      <c r="I2" s="12"/>
      <c r="J2" s="12"/>
      <c r="K2" s="12"/>
      <c r="L2" s="12"/>
      <c r="M2" s="12"/>
      <c r="N2" s="12"/>
      <c r="O2" s="12"/>
      <c r="P2" s="12"/>
      <c r="Q2" s="12"/>
      <c r="R2" s="12"/>
      <c r="S2" s="12"/>
      <c r="T2" s="24"/>
      <c r="U2" s="12"/>
      <c r="V2" s="12"/>
      <c r="W2" s="12"/>
      <c r="X2" s="12"/>
      <c r="Y2" s="13"/>
    </row>
    <row r="3" spans="1:25" ht="15.6" x14ac:dyDescent="0.3">
      <c r="A3" s="14" t="s">
        <v>1</v>
      </c>
      <c r="B3" s="4">
        <v>1</v>
      </c>
      <c r="C3" s="4">
        <v>2</v>
      </c>
      <c r="D3" s="4">
        <v>3</v>
      </c>
      <c r="E3" s="4">
        <v>4</v>
      </c>
      <c r="F3" s="4">
        <v>5</v>
      </c>
      <c r="G3" s="4">
        <v>6</v>
      </c>
      <c r="H3" s="19" t="s">
        <v>2</v>
      </c>
      <c r="I3" s="12"/>
      <c r="J3" s="3" t="s">
        <v>1</v>
      </c>
      <c r="K3" s="4">
        <v>1</v>
      </c>
      <c r="L3" s="4">
        <v>2</v>
      </c>
      <c r="M3" s="4">
        <v>3</v>
      </c>
      <c r="N3" s="4">
        <v>4</v>
      </c>
      <c r="O3" s="4">
        <v>5</v>
      </c>
      <c r="P3" s="4">
        <v>6</v>
      </c>
      <c r="Q3" s="19" t="s">
        <v>11</v>
      </c>
      <c r="R3" s="12"/>
      <c r="S3" s="3" t="s">
        <v>1</v>
      </c>
      <c r="T3" s="4">
        <v>1</v>
      </c>
      <c r="U3" s="4">
        <v>2</v>
      </c>
      <c r="V3" s="4">
        <v>3</v>
      </c>
      <c r="W3" s="4">
        <v>4</v>
      </c>
      <c r="X3" s="4">
        <v>5</v>
      </c>
      <c r="Y3" s="20" t="s">
        <v>12</v>
      </c>
    </row>
    <row r="4" spans="1:25" x14ac:dyDescent="0.25">
      <c r="A4" s="15">
        <v>0</v>
      </c>
      <c r="B4" s="21">
        <f>$B$2*$C$2^2*(1-0.5*COS(RADIANS(A4))-RADIANS(A4)*SIN(RADIANS(A4)))</f>
        <v>49.62890625</v>
      </c>
      <c r="C4" s="21">
        <f>$D$2*$C$2^2*IF(AND(A4&gt;=0, A4&lt;=90),
0.193+0.106*COS(RADIANS(A4))-0.5*SIN(RADIANS(A4))^2,
IF(AND(A4&gt;90, A4&lt;=180),
0.693+0.106*COS(RADIANS(A4))-SIN(RADIANS(A4)),
""))</f>
        <v>477.87936624999998</v>
      </c>
      <c r="D4" s="21">
        <f>$E$2*$C$2^2*IF(AND(A4&gt;=0, A4&lt;=90),
0.057-0.106*COS(RADIANS(A4)),
IF(AND(A4&gt;90, A4&lt;=180),
-0.443+SIN(RADIANS(A4))-0.106*COS(RADIANS(A4))-0.5*SIN(RADIANS(A4))^2,
""))</f>
        <v>-83.178311562499985</v>
      </c>
      <c r="E4" s="21">
        <f>$F$2*$C$2^2*(0.25-0.5*COS(RADIANS(A4))^2)</f>
        <v>-277.22234374999999</v>
      </c>
      <c r="F4" s="21">
        <f>$G$2*$C$2^2*(0.25*SIN(RADIANS(A4))^2+0.083*COS(RADIANS(A4))^3-0.063*COS(RADIANS(A4))-0.125)</f>
        <v>-78.572484375000002</v>
      </c>
      <c r="G4" s="21">
        <f>$H$2*$C$2^2*IF(AND(A4&gt;=0, A4&lt;=45),
0.2346-0.3536*COS(RADIANS(A4)),
IF(AND(A4&gt;45, A4&lt;=180),
-0.3487+0.5*SIN(RADIANS(A4))^2+0.2357*COS(RADIANS(A4))^3,
""))</f>
        <v>-6.8395250000000005E-2</v>
      </c>
      <c r="H4" s="22">
        <f>SUM(B4:G4)</f>
        <v>88.466737562500015</v>
      </c>
      <c r="I4" s="12"/>
      <c r="J4" s="1">
        <v>0</v>
      </c>
      <c r="K4" s="21">
        <f>$B$2*$C$2^2*(RADIANS(J4)*SIN(RADIANS(J4))-0.5*COS(RADIANS(J4)))</f>
        <v>-49.62890625</v>
      </c>
      <c r="L4" s="21">
        <f>$D$2*$C$2*IF(AND(J4&gt;=0, J4&lt;=90),
SIN(RADIANS(J4))^2-0.106*COS(RADIANS(J4)),
IF(AND(J4&gt;90, J4&lt;=180),
SIN(RADIANS(J4))-0.106*COS(RADIANS(J4)),
""))</f>
        <v>-61.605610000000006</v>
      </c>
      <c r="M4" s="21">
        <f>IF(AND(J4&gt;=0, J4&lt;=90),
0.106*$E$2*$C$2*COS(RADIANS(J4)),
IF(AND(J4&gt;90, J4&lt;=180),
$E$2*$C$2*(SIN(RADIANS(J4))^2-SIN(RADIANS(J4))+0.106*COS(RADIANS(J4))),
""))</f>
        <v>65.431547499999994</v>
      </c>
      <c r="N4" s="21">
        <f>$F$2*$C$2*COS(RADIANS(J4))^2</f>
        <v>403.23249999999996</v>
      </c>
      <c r="O4" s="21">
        <f>$G$2*$C$2*COS(RADIANS(J4))*(0.063+0.5*COS(RADIANS(J4))-0.25*COS(RADIANS(J4))^2)</f>
        <v>85.171212499999982</v>
      </c>
      <c r="P4" s="21">
        <f>IF(AND(J4&gt;=0, J4&lt;=45),
0.3536*$H$2*$C$2*COS(RADIANS(J4)),
IF(AND(J4&gt;45, J4&lt;=180),
$H$2*$C$2*(-0.7071*COS(RADIANS(J4))+COS(RADIANS(J4))^2+0.7071*SIN(RADIANS(J4))^2*COS(RADIANS(J4))),
""))</f>
        <v>7.3902400000000007E-2</v>
      </c>
      <c r="Q4" s="22">
        <f>SUM(K4:O4)</f>
        <v>442.60074374999994</v>
      </c>
      <c r="R4" s="12"/>
      <c r="S4" s="1">
        <v>0</v>
      </c>
      <c r="T4" s="21">
        <f>IF(AND(J4&gt;=0, J4&lt;=45),
0.3536*SIN(RADIANS(S4))*$H$2,
IF(AND(J4&gt;45, J4&lt;=180),
(SIN(RADIANS(S4))*COS(RADIANS(S4))-0.7071*COS(RADIANS(S4))^2*SIN(RADIANS(S4)))*$H$2*$C$2,
""))</f>
        <v>0</v>
      </c>
      <c r="U4" s="21">
        <f>-$D$2*$C$2*SIN(RADIANS(S4))*COS(RADIANS(S4))</f>
        <v>0</v>
      </c>
      <c r="V4" s="21">
        <f>$C$2*$F$2*SIN(RADIANS(S4))*COS(RADIANS(S4))</f>
        <v>0</v>
      </c>
      <c r="W4" s="21">
        <f>$C$2*(SIN(RADIANS(RADIANS(S4)))+8*SIN(RADIANS(S4))*COS(RADIANS(S4))-4*SIN(RADIANS(S4))*COS(RADIANS(S4))^2)*(($G$2-$F$2)/16)</f>
        <v>0</v>
      </c>
      <c r="X4" s="21">
        <f>IF(AND(S4&gt;=0, S4&lt;=90),
(-RADIANS(S4)*COS(RADIANS(S4))-SIN(RADIANS(S4))/6)*$B$2*$C$2,
IF(AND(S4&gt;90, S4&lt;=180),
((PI()-RADIANS(S4))*COS(RADIANS(S4))-PI()*SIN(RADIANS(S4))*COS(RADIANS(S4))-SIN(RADIANS(S4))/6)*$B$2*$C$2,
""))</f>
        <v>0</v>
      </c>
      <c r="Y4" s="25">
        <f>SUM(T4:X4)</f>
        <v>0</v>
      </c>
    </row>
    <row r="5" spans="1:25" x14ac:dyDescent="0.25">
      <c r="A5" s="15">
        <v>5</v>
      </c>
      <c r="B5" s="21">
        <f t="shared" ref="B5:B40" si="0">$B$2*$C$2^2*(1-0.5*COS(RADIANS(A5))-RADIANS(A5)*SIN(RADIANS(A5)))</f>
        <v>49.062826795093017</v>
      </c>
      <c r="C5" s="21">
        <f t="shared" ref="C5:C40" si="1">$D$2*$C$2^2*IF(AND(A5&gt;=0, A5&lt;=90),
0.193+0.106*COS(RADIANS(A5))-0.5*SIN(RADIANS(A5))^2,
IF(AND(A5&gt;90, A5&lt;=180),
0.693+0.106*COS(RADIANS(A5))-SIN(RADIANS(A5)),
""))</f>
        <v>471.16440398034661</v>
      </c>
      <c r="D5" s="21">
        <f t="shared" ref="D5:D40" si="2">$E$2*$C$2^2*IF(AND(A5&gt;=0, A5&lt;=90),
0.057-0.106*COS(RADIANS(A5)),
IF(AND(A5&gt;90, A5&lt;=180),
-0.443+SIN(RADIANS(A5))-0.106*COS(RADIANS(A5))-0.5*SIN(RADIANS(A5))^2,
""))</f>
        <v>-82.493597882955058</v>
      </c>
      <c r="E5" s="21">
        <f t="shared" ref="E5:E40" si="3">$F$2*$C$2^2*(0.25-0.5*COS(RADIANS(A5))^2)</f>
        <v>-273.01071343321547</v>
      </c>
      <c r="F5" s="21">
        <f t="shared" ref="F5:F40" si="4">$G$2*$C$2^2*(0.25*SIN(RADIANS(A5))^2+0.083*COS(RADIANS(A5))^3-0.063*COS(RADIANS(A5))-0.125)</f>
        <v>-77.678370102035814</v>
      </c>
      <c r="G5" s="21">
        <f t="shared" ref="G5:G39" si="5">$H$2*$C$2^2*IF(AND(A5&gt;=0, A5&lt;=45),
0.2346-0.3536*COS(RADIANS(A5)),
IF(AND(A5&gt;45, A5&lt;=180),
-0.3487+0.5*SIN(RADIANS(A5))^2+0.2357*COS(RADIANS(A5))^3,
""))</f>
        <v>-6.7621892404702399E-2</v>
      </c>
      <c r="H5" s="22">
        <f t="shared" ref="H5:H40" si="6">SUM(B5:G5)</f>
        <v>86.976927464828549</v>
      </c>
      <c r="I5" s="12"/>
      <c r="J5" s="1">
        <v>5</v>
      </c>
      <c r="K5" s="21">
        <f t="shared" ref="K5:K40" si="7">$B$2*$C$2^2*(RADIANS(J5)*SIN(RADIANS(J5))-0.5*COS(RADIANS(J5)))</f>
        <v>-48.685120851777604</v>
      </c>
      <c r="L5" s="21">
        <f t="shared" ref="L5:L40" si="8">$D$2*$C$2*IF(AND(J5&gt;=0, J5&lt;=90),
SIN(RADIANS(J5))^2-0.106*COS(RADIANS(J5)),
IF(AND(J5&gt;90, J5&lt;=180),
SIN(RADIANS(J5))-0.106*COS(RADIANS(J5)),
""))</f>
        <v>-56.956429021907887</v>
      </c>
      <c r="M5" s="21">
        <f t="shared" ref="M5:M40" si="9">IF(AND(J5&gt;=0, J5&lt;=90),
0.106*$E$2*$C$2*COS(RADIANS(J5)),
IF(AND(J5&gt;90, J5&lt;=180),
$E$2*$C$2*(SIN(RADIANS(J5))^2-SIN(RADIANS(J5))+0.106*COS(RADIANS(J5))),
""))</f>
        <v>65.182560707438199</v>
      </c>
      <c r="N5" s="21">
        <f t="shared" ref="N5:N40" si="10">$F$2*$C$2*COS(RADIANS(J5))^2</f>
        <v>400.16949613324755</v>
      </c>
      <c r="O5" s="21">
        <f t="shared" ref="O5:O40" si="11">$G$2*$C$2*COS(RADIANS(J5))*(0.063+0.5*COS(RADIANS(J5))-0.25*COS(RADIANS(J5))^2)</f>
        <v>84.846129001834356</v>
      </c>
      <c r="P5" s="21">
        <f t="shared" ref="P5:P40" si="12">IF(AND(J5&gt;=0, J5&lt;=45),
0.3536*$H$2*$C$2*COS(RADIANS(J5)),
IF(AND(J5&gt;45, J5&lt;=180),
$H$2*$C$2*(-0.7071*COS(RADIANS(J5))+COS(RADIANS(J5))^2+0.7071*SIN(RADIANS(J5))^2*COS(RADIANS(J5))),
""))</f>
        <v>7.3621179056255426E-2</v>
      </c>
      <c r="Q5" s="22">
        <f t="shared" ref="Q5:Q40" si="13">SUM(K5:O5)</f>
        <v>444.5566359688346</v>
      </c>
      <c r="R5" s="12"/>
      <c r="S5" s="1">
        <v>5</v>
      </c>
      <c r="T5" s="21">
        <f t="shared" ref="T5:T40" si="14">IF(AND(J5&gt;=0, J5&lt;=45),
0.3536*SIN(RADIANS(S5))*$H$2,
IF(AND(J5&gt;45, J5&lt;=180),
(SIN(RADIANS(S5))*COS(RADIANS(S5))-0.7071*COS(RADIANS(S5))^2*SIN(RADIANS(S5)))*$H$2*$C$2,
""))</f>
        <v>2.3421885683034666E-3</v>
      </c>
      <c r="U5" s="21">
        <f t="shared" ref="U5:U40" si="15">-$D$2*$C$2*SIN(RADIANS(S5))*COS(RADIANS(S5))</f>
        <v>-50.460858068677453</v>
      </c>
      <c r="V5" s="21">
        <f t="shared" ref="V5:V40" si="16">$C$2*$F$2*SIN(RADIANS(S5))*COS(RADIANS(S5))</f>
        <v>35.010294400540239</v>
      </c>
      <c r="W5" s="21">
        <f t="shared" ref="W5:W40" si="17">$C$2*(SIN(RADIANS(RADIANS(S5)))+8*SIN(RADIANS(S5))*COS(RADIANS(S5))-4*SIN(RADIANS(S5))*COS(RADIANS(S5))^2)*(($G$2-$F$2)/16)</f>
        <v>-2.8694055714396915</v>
      </c>
      <c r="X5" s="21">
        <f t="shared" ref="X5:X40" si="18">IF(AND(S5&gt;=0, S5&lt;=90),
(-RADIANS(S5)*COS(RADIANS(S5))-SIN(RADIANS(S5))/6)*$B$2*$C$2,
IF(AND(S5&gt;90, S5&lt;=180),
((PI()-RADIANS(S5))*COS(RADIANS(S5))-PI()*SIN(RADIANS(S5))*COS(RADIANS(S5))-SIN(RADIANS(S5))/6)*$B$2*$C$2,
""))</f>
        <v>-3.6620843088517976</v>
      </c>
      <c r="Y5" s="25">
        <f t="shared" ref="Y5:Y40" si="19">SUM(T5:X5)</f>
        <v>-21.979711359860396</v>
      </c>
    </row>
    <row r="6" spans="1:25" x14ac:dyDescent="0.25">
      <c r="A6" s="15">
        <v>10</v>
      </c>
      <c r="B6" s="21">
        <f t="shared" si="0"/>
        <v>47.374642128438865</v>
      </c>
      <c r="C6" s="21">
        <f t="shared" si="1"/>
        <v>451.20886610225517</v>
      </c>
      <c r="D6" s="21">
        <f t="shared" si="2"/>
        <v>-80.444667928863026</v>
      </c>
      <c r="E6" s="21">
        <f t="shared" si="3"/>
        <v>-260.50379073884943</v>
      </c>
      <c r="F6" s="21">
        <f t="shared" si="4"/>
        <v>-75.003165605384524</v>
      </c>
      <c r="G6" s="21">
        <f t="shared" si="5"/>
        <v>-6.5307705337075861E-2</v>
      </c>
      <c r="H6" s="22">
        <f t="shared" si="6"/>
        <v>82.566576252259978</v>
      </c>
      <c r="I6" s="12"/>
      <c r="J6" s="1">
        <v>10</v>
      </c>
      <c r="K6" s="21">
        <f t="shared" si="7"/>
        <v>-45.866692925470922</v>
      </c>
      <c r="L6" s="21">
        <f t="shared" si="8"/>
        <v>-43.144810262775508</v>
      </c>
      <c r="M6" s="21">
        <f t="shared" si="9"/>
        <v>64.437495269586549</v>
      </c>
      <c r="N6" s="21">
        <f t="shared" si="10"/>
        <v>391.07355235552683</v>
      </c>
      <c r="O6" s="21">
        <f t="shared" si="11"/>
        <v>83.861807751349531</v>
      </c>
      <c r="P6" s="21">
        <f t="shared" si="12"/>
        <v>7.2779656486209404E-2</v>
      </c>
      <c r="Q6" s="22">
        <f t="shared" si="13"/>
        <v>450.36135218821647</v>
      </c>
      <c r="R6" s="12"/>
      <c r="S6" s="1">
        <v>10</v>
      </c>
      <c r="T6" s="21">
        <f t="shared" si="14"/>
        <v>4.6665516673500187E-3</v>
      </c>
      <c r="U6" s="21">
        <f t="shared" si="15"/>
        <v>-99.388488499364399</v>
      </c>
      <c r="V6" s="21">
        <f t="shared" si="16"/>
        <v>68.956818721783847</v>
      </c>
      <c r="W6" s="21">
        <f t="shared" si="17"/>
        <v>-5.7158368411798319</v>
      </c>
      <c r="X6" s="21">
        <f t="shared" si="18"/>
        <v>-7.2484458020778808</v>
      </c>
      <c r="Y6" s="25">
        <f t="shared" si="19"/>
        <v>-43.391285869170908</v>
      </c>
    </row>
    <row r="7" spans="1:25" x14ac:dyDescent="0.25">
      <c r="A7" s="15">
        <v>15</v>
      </c>
      <c r="B7" s="21">
        <f t="shared" si="0"/>
        <v>44.594393102864657</v>
      </c>
      <c r="C7" s="21">
        <f t="shared" si="1"/>
        <v>418.57515787424376</v>
      </c>
      <c r="D7" s="21">
        <f t="shared" si="2"/>
        <v>-77.047115294352281</v>
      </c>
      <c r="E7" s="21">
        <f t="shared" si="3"/>
        <v>-240.08159218416225</v>
      </c>
      <c r="F7" s="21">
        <f t="shared" si="4"/>
        <v>-70.569430948656731</v>
      </c>
      <c r="G7" s="21">
        <f t="shared" si="5"/>
        <v>-6.147030115804944E-2</v>
      </c>
      <c r="H7" s="22">
        <f t="shared" si="6"/>
        <v>75.409942248779103</v>
      </c>
      <c r="I7" s="12"/>
      <c r="J7" s="1">
        <v>15</v>
      </c>
      <c r="K7" s="21">
        <f t="shared" si="7"/>
        <v>-41.212265157572567</v>
      </c>
      <c r="L7" s="21">
        <f t="shared" si="8"/>
        <v>-20.574436892521589</v>
      </c>
      <c r="M7" s="21">
        <f t="shared" si="9"/>
        <v>63.202021584309918</v>
      </c>
      <c r="N7" s="21">
        <f t="shared" si="10"/>
        <v>376.22104431575434</v>
      </c>
      <c r="O7" s="21">
        <f t="shared" si="11"/>
        <v>82.19278111703926</v>
      </c>
      <c r="P7" s="21">
        <f t="shared" si="12"/>
        <v>7.1384236784745245E-2</v>
      </c>
      <c r="Q7" s="22">
        <f t="shared" si="13"/>
        <v>459.82914496700937</v>
      </c>
      <c r="R7" s="12"/>
      <c r="S7" s="1">
        <v>15</v>
      </c>
      <c r="T7" s="21">
        <f t="shared" si="14"/>
        <v>6.9553994904671011E-3</v>
      </c>
      <c r="U7" s="21">
        <f t="shared" si="15"/>
        <v>-145.29625000000001</v>
      </c>
      <c r="V7" s="21">
        <f t="shared" si="16"/>
        <v>100.80812499999999</v>
      </c>
      <c r="W7" s="21">
        <f t="shared" si="17"/>
        <v>-8.5116828195911154</v>
      </c>
      <c r="X7" s="21">
        <f t="shared" si="18"/>
        <v>-10.684302144102814</v>
      </c>
      <c r="Y7" s="25">
        <f t="shared" si="19"/>
        <v>-63.677154564203491</v>
      </c>
    </row>
    <row r="8" spans="1:25" x14ac:dyDescent="0.25">
      <c r="A8" s="15">
        <v>20</v>
      </c>
      <c r="B8" s="21">
        <f t="shared" si="0"/>
        <v>40.771748249733896</v>
      </c>
      <c r="C8" s="21">
        <f t="shared" si="1"/>
        <v>374.18198684498606</v>
      </c>
      <c r="D8" s="21">
        <f t="shared" si="2"/>
        <v>-72.32679740646978</v>
      </c>
      <c r="E8" s="21">
        <f t="shared" si="3"/>
        <v>-212.36463593810666</v>
      </c>
      <c r="F8" s="21">
        <f t="shared" si="4"/>
        <v>-64.418455639262504</v>
      </c>
      <c r="G8" s="21">
        <f t="shared" si="5"/>
        <v>-5.6138884830513436E-2</v>
      </c>
      <c r="H8" s="22">
        <f t="shared" si="6"/>
        <v>65.787707226050486</v>
      </c>
      <c r="I8" s="12"/>
      <c r="J8" s="1">
        <v>20</v>
      </c>
      <c r="K8" s="21">
        <f t="shared" si="7"/>
        <v>-34.785769711335199</v>
      </c>
      <c r="L8" s="21">
        <f t="shared" si="8"/>
        <v>10.095393046933802</v>
      </c>
      <c r="M8" s="21">
        <f t="shared" si="9"/>
        <v>61.485542352352645</v>
      </c>
      <c r="N8" s="21">
        <f t="shared" si="10"/>
        <v>356.06325795498663</v>
      </c>
      <c r="O8" s="21">
        <f t="shared" si="11"/>
        <v>79.802264026989349</v>
      </c>
      <c r="P8" s="21">
        <f t="shared" si="12"/>
        <v>6.9445539938368522E-2</v>
      </c>
      <c r="Q8" s="22">
        <f t="shared" si="13"/>
        <v>472.6606876699272</v>
      </c>
      <c r="R8" s="12"/>
      <c r="S8" s="1">
        <v>20</v>
      </c>
      <c r="T8" s="21">
        <f t="shared" si="14"/>
        <v>9.1913125236766906E-3</v>
      </c>
      <c r="U8" s="21">
        <f t="shared" si="15"/>
        <v>-186.78925846783571</v>
      </c>
      <c r="V8" s="21">
        <f t="shared" si="16"/>
        <v>129.59642741146371</v>
      </c>
      <c r="W8" s="21">
        <f t="shared" si="17"/>
        <v>-11.220571073207989</v>
      </c>
      <c r="X8" s="21">
        <f t="shared" si="18"/>
        <v>-13.896742030172813</v>
      </c>
      <c r="Y8" s="25">
        <f t="shared" si="19"/>
        <v>-82.300952847229127</v>
      </c>
    </row>
    <row r="9" spans="1:25" x14ac:dyDescent="0.25">
      <c r="A9" s="15">
        <v>25</v>
      </c>
      <c r="B9" s="21">
        <f t="shared" si="0"/>
        <v>35.975408799529134</v>
      </c>
      <c r="C9" s="21">
        <f t="shared" si="1"/>
        <v>319.27700283066707</v>
      </c>
      <c r="D9" s="21">
        <f t="shared" si="2"/>
        <v>-66.319638734548207</v>
      </c>
      <c r="E9" s="21">
        <f t="shared" si="3"/>
        <v>-178.19508769076262</v>
      </c>
      <c r="F9" s="21">
        <f t="shared" si="4"/>
        <v>-56.615356372056688</v>
      </c>
      <c r="G9" s="21">
        <f t="shared" si="5"/>
        <v>-4.9354031651917638E-2</v>
      </c>
      <c r="H9" s="22">
        <f t="shared" si="6"/>
        <v>54.072974801176763</v>
      </c>
      <c r="I9" s="12"/>
      <c r="J9" s="1">
        <v>25</v>
      </c>
      <c r="K9" s="21">
        <f t="shared" si="7"/>
        <v>-26.675724692502865</v>
      </c>
      <c r="L9" s="21">
        <f t="shared" si="8"/>
        <v>47.969597464021426</v>
      </c>
      <c r="M9" s="21">
        <f t="shared" si="9"/>
        <v>59.301121017108436</v>
      </c>
      <c r="N9" s="21">
        <f t="shared" si="10"/>
        <v>331.21267741146369</v>
      </c>
      <c r="O9" s="21">
        <f t="shared" si="11"/>
        <v>76.650116398402076</v>
      </c>
      <c r="P9" s="21">
        <f t="shared" si="12"/>
        <v>6.6978320600697319E-2</v>
      </c>
      <c r="Q9" s="22">
        <f t="shared" si="13"/>
        <v>488.45778759849276</v>
      </c>
      <c r="R9" s="12"/>
      <c r="S9" s="1">
        <v>25</v>
      </c>
      <c r="T9" s="21">
        <f t="shared" si="14"/>
        <v>1.135727411871486E-2</v>
      </c>
      <c r="U9" s="21">
        <f t="shared" si="15"/>
        <v>-222.60676983705164</v>
      </c>
      <c r="V9" s="21">
        <f t="shared" si="16"/>
        <v>154.44700795498665</v>
      </c>
      <c r="W9" s="21">
        <f t="shared" si="17"/>
        <v>-13.794225934688079</v>
      </c>
      <c r="X9" s="21">
        <f t="shared" si="18"/>
        <v>-16.81563597523105</v>
      </c>
      <c r="Y9" s="25">
        <f t="shared" si="19"/>
        <v>-98.758266517865408</v>
      </c>
    </row>
    <row r="10" spans="1:25" x14ac:dyDescent="0.25">
      <c r="A10" s="15">
        <v>30</v>
      </c>
      <c r="B10" s="21">
        <f t="shared" si="0"/>
        <v>30.292284378680936</v>
      </c>
      <c r="C10" s="21">
        <f t="shared" si="1"/>
        <v>255.39965900800084</v>
      </c>
      <c r="D10" s="21">
        <f t="shared" si="2"/>
        <v>-59.071357383302477</v>
      </c>
      <c r="E10" s="21">
        <f t="shared" si="3"/>
        <v>-138.61117187500005</v>
      </c>
      <c r="F10" s="21">
        <f t="shared" si="4"/>
        <v>-47.255377133980048</v>
      </c>
      <c r="G10" s="21">
        <f t="shared" si="5"/>
        <v>-4.1167378451757546E-2</v>
      </c>
      <c r="H10" s="22">
        <f t="shared" si="6"/>
        <v>40.712869615947426</v>
      </c>
      <c r="I10" s="12"/>
      <c r="J10" s="1">
        <v>30</v>
      </c>
      <c r="K10" s="21">
        <f t="shared" si="7"/>
        <v>-16.99425902775355</v>
      </c>
      <c r="L10" s="21">
        <f t="shared" si="8"/>
        <v>91.944226724363332</v>
      </c>
      <c r="M10" s="21">
        <f t="shared" si="9"/>
        <v>56.665382343928172</v>
      </c>
      <c r="N10" s="21">
        <f t="shared" si="10"/>
        <v>302.424375</v>
      </c>
      <c r="O10" s="21">
        <f t="shared" si="11"/>
        <v>72.702973457932032</v>
      </c>
      <c r="P10" s="21">
        <f t="shared" si="12"/>
        <v>6.4001355800639106E-2</v>
      </c>
      <c r="Q10" s="22">
        <f t="shared" si="13"/>
        <v>506.74269849847002</v>
      </c>
      <c r="R10" s="12"/>
      <c r="S10" s="1">
        <v>30</v>
      </c>
      <c r="T10" s="21">
        <f t="shared" si="14"/>
        <v>1.3436799999999999E-2</v>
      </c>
      <c r="U10" s="21">
        <f t="shared" si="15"/>
        <v>-251.66048714922948</v>
      </c>
      <c r="V10" s="21">
        <f t="shared" si="16"/>
        <v>174.6047943157543</v>
      </c>
      <c r="W10" s="21">
        <f t="shared" si="17"/>
        <v>-16.170701886333752</v>
      </c>
      <c r="X10" s="21">
        <f t="shared" si="18"/>
        <v>-19.374517700707202</v>
      </c>
      <c r="Y10" s="25">
        <f t="shared" si="19"/>
        <v>-112.58747562051613</v>
      </c>
    </row>
    <row r="11" spans="1:25" x14ac:dyDescent="0.25">
      <c r="A11" s="15">
        <v>35</v>
      </c>
      <c r="B11" s="21">
        <f t="shared" si="0"/>
        <v>23.826447950269106</v>
      </c>
      <c r="C11" s="21">
        <f t="shared" si="1"/>
        <v>184.33541670734459</v>
      </c>
      <c r="D11" s="21">
        <f t="shared" si="2"/>
        <v>-50.637117150447487</v>
      </c>
      <c r="E11" s="21">
        <f t="shared" si="3"/>
        <v>-94.815625742452781</v>
      </c>
      <c r="F11" s="21">
        <f t="shared" si="4"/>
        <v>-36.470636222883464</v>
      </c>
      <c r="G11" s="21">
        <f t="shared" si="5"/>
        <v>-3.1641230604122682E-2</v>
      </c>
      <c r="H11" s="22">
        <f t="shared" si="6"/>
        <v>26.206844311225844</v>
      </c>
      <c r="I11" s="12"/>
      <c r="J11" s="1">
        <v>35</v>
      </c>
      <c r="K11" s="21">
        <f t="shared" si="7"/>
        <v>-5.8758754712975545</v>
      </c>
      <c r="L11" s="21">
        <f t="shared" si="8"/>
        <v>140.73965012946522</v>
      </c>
      <c r="M11" s="21">
        <f t="shared" si="9"/>
        <v>53.598385895617263</v>
      </c>
      <c r="N11" s="21">
        <f t="shared" si="10"/>
        <v>270.57306872178384</v>
      </c>
      <c r="O11" s="21">
        <f t="shared" si="11"/>
        <v>67.945619574707507</v>
      </c>
      <c r="P11" s="21">
        <f t="shared" si="12"/>
        <v>6.053730203786279E-2</v>
      </c>
      <c r="Q11" s="22">
        <f t="shared" si="13"/>
        <v>526.98084885027629</v>
      </c>
      <c r="R11" s="12"/>
      <c r="S11" s="1">
        <v>35</v>
      </c>
      <c r="T11" s="21">
        <f t="shared" si="14"/>
        <v>1.5414063719923472E-2</v>
      </c>
      <c r="U11" s="21">
        <f t="shared" si="15"/>
        <v>-273.06762790572913</v>
      </c>
      <c r="V11" s="21">
        <f t="shared" si="16"/>
        <v>189.45730235552688</v>
      </c>
      <c r="W11" s="21">
        <f t="shared" si="17"/>
        <v>-18.27427330320673</v>
      </c>
      <c r="X11" s="21">
        <f t="shared" si="18"/>
        <v>-21.51142676544017</v>
      </c>
      <c r="Y11" s="25">
        <f t="shared" si="19"/>
        <v>-123.38061155512924</v>
      </c>
    </row>
    <row r="12" spans="1:25" x14ac:dyDescent="0.25">
      <c r="A12" s="15">
        <v>40</v>
      </c>
      <c r="B12" s="21">
        <f t="shared" si="0"/>
        <v>16.697880871742925</v>
      </c>
      <c r="C12" s="21">
        <f t="shared" si="1"/>
        <v>108.06267790943265</v>
      </c>
      <c r="D12" s="21">
        <f t="shared" si="2"/>
        <v>-41.081107696888758</v>
      </c>
      <c r="E12" s="21">
        <f t="shared" si="3"/>
        <v>-48.139154800742823</v>
      </c>
      <c r="F12" s="21">
        <f t="shared" si="4"/>
        <v>-24.43645835694317</v>
      </c>
      <c r="G12" s="21">
        <f t="shared" si="5"/>
        <v>-2.0848087846178889E-2</v>
      </c>
      <c r="H12" s="22">
        <f t="shared" si="6"/>
        <v>11.082989838754653</v>
      </c>
      <c r="I12" s="12"/>
      <c r="J12" s="1">
        <v>40</v>
      </c>
      <c r="K12" s="21">
        <f t="shared" si="7"/>
        <v>6.5240359264866443</v>
      </c>
      <c r="L12" s="21">
        <f t="shared" si="8"/>
        <v>192.93900672586759</v>
      </c>
      <c r="M12" s="21">
        <f t="shared" si="9"/>
        <v>50.123473367050451</v>
      </c>
      <c r="N12" s="21">
        <f t="shared" si="10"/>
        <v>236.62654440054021</v>
      </c>
      <c r="O12" s="21">
        <f t="shared" si="11"/>
        <v>62.392542129585642</v>
      </c>
      <c r="P12" s="21">
        <f t="shared" si="12"/>
        <v>5.6612522853155968E-2</v>
      </c>
      <c r="Q12" s="22">
        <f t="shared" si="13"/>
        <v>548.60560254953054</v>
      </c>
      <c r="R12" s="12"/>
      <c r="S12" s="1">
        <v>40</v>
      </c>
      <c r="T12" s="21">
        <f t="shared" si="14"/>
        <v>1.7274017107672179E-2</v>
      </c>
      <c r="U12" s="21">
        <f t="shared" si="15"/>
        <v>-286.17774696720005</v>
      </c>
      <c r="V12" s="21">
        <f t="shared" si="16"/>
        <v>198.55324613324754</v>
      </c>
      <c r="W12" s="21">
        <f t="shared" si="17"/>
        <v>-20.0171266177455</v>
      </c>
      <c r="X12" s="21">
        <f t="shared" si="18"/>
        <v>-23.169703464686386</v>
      </c>
      <c r="Y12" s="25">
        <f t="shared" si="19"/>
        <v>-130.79405689927671</v>
      </c>
    </row>
    <row r="13" spans="1:25" x14ac:dyDescent="0.25">
      <c r="A13" s="15">
        <v>45</v>
      </c>
      <c r="B13" s="21">
        <f t="shared" si="0"/>
        <v>9.0410211433570478</v>
      </c>
      <c r="C13" s="21">
        <f t="shared" si="1"/>
        <v>28.69404887286802</v>
      </c>
      <c r="D13" s="21">
        <f t="shared" si="2"/>
        <v>-30.476056024644141</v>
      </c>
      <c r="E13" s="21">
        <f t="shared" si="3"/>
        <v>-6.1555725794359971E-14</v>
      </c>
      <c r="F13" s="21">
        <f t="shared" si="4"/>
        <v>-11.376394619991306</v>
      </c>
      <c r="G13" s="21">
        <f t="shared" si="5"/>
        <v>-8.87009251139197E-3</v>
      </c>
      <c r="H13" s="22">
        <f t="shared" si="6"/>
        <v>-4.126250720921834</v>
      </c>
      <c r="I13" s="12"/>
      <c r="J13" s="1">
        <v>45</v>
      </c>
      <c r="K13" s="21">
        <f t="shared" si="7"/>
        <v>20.030919052150093</v>
      </c>
      <c r="L13" s="21">
        <f t="shared" si="8"/>
        <v>247.03075540986617</v>
      </c>
      <c r="M13" s="21">
        <f t="shared" si="9"/>
        <v>46.267090940779688</v>
      </c>
      <c r="N13" s="21">
        <f t="shared" si="10"/>
        <v>201.61625000000004</v>
      </c>
      <c r="O13" s="21">
        <f t="shared" si="11"/>
        <v>56.098544172271296</v>
      </c>
      <c r="P13" s="21">
        <f t="shared" si="12"/>
        <v>5.225688818596072E-2</v>
      </c>
      <c r="Q13" s="22">
        <f t="shared" si="13"/>
        <v>571.04355957506721</v>
      </c>
      <c r="R13" s="12"/>
      <c r="S13" s="1">
        <v>45</v>
      </c>
      <c r="T13" s="21">
        <f t="shared" si="14"/>
        <v>1.9002504794894803E-2</v>
      </c>
      <c r="U13" s="21">
        <f t="shared" si="15"/>
        <v>-290.59250000000003</v>
      </c>
      <c r="V13" s="21">
        <f t="shared" si="16"/>
        <v>201.61624999999998</v>
      </c>
      <c r="W13" s="21">
        <f t="shared" si="17"/>
        <v>-21.302851627338061</v>
      </c>
      <c r="X13" s="21">
        <f t="shared" si="18"/>
        <v>-24.298727486719514</v>
      </c>
      <c r="Y13" s="25">
        <f t="shared" si="19"/>
        <v>-134.55882660926272</v>
      </c>
    </row>
    <row r="14" spans="1:25" x14ac:dyDescent="0.25">
      <c r="A14" s="15">
        <v>50</v>
      </c>
      <c r="B14" s="21">
        <f t="shared" si="0"/>
        <v>1.0031299952602217</v>
      </c>
      <c r="C14" s="21">
        <f t="shared" si="1"/>
        <v>-51.586290907683292</v>
      </c>
      <c r="D14" s="21">
        <f t="shared" si="2"/>
        <v>-18.902672980444709</v>
      </c>
      <c r="E14" s="21">
        <f t="shared" si="3"/>
        <v>48.139154800742823</v>
      </c>
      <c r="F14" s="21">
        <f t="shared" si="4"/>
        <v>2.4349271473508258</v>
      </c>
      <c r="G14" s="21">
        <f t="shared" si="5"/>
        <v>4.2015818213164248E-3</v>
      </c>
      <c r="H14" s="22">
        <f t="shared" si="6"/>
        <v>-18.907550362952808</v>
      </c>
      <c r="I14" s="12"/>
      <c r="J14" s="1">
        <v>50</v>
      </c>
      <c r="K14" s="21">
        <f t="shared" si="7"/>
        <v>34.452990465150073</v>
      </c>
      <c r="L14" s="21">
        <f t="shared" si="8"/>
        <v>301.45403527349634</v>
      </c>
      <c r="M14" s="21">
        <f t="shared" si="9"/>
        <v>42.058588015616259</v>
      </c>
      <c r="N14" s="21">
        <f t="shared" si="10"/>
        <v>166.60595559945975</v>
      </c>
      <c r="O14" s="21">
        <f t="shared" si="11"/>
        <v>49.167323510724536</v>
      </c>
      <c r="P14" s="21">
        <f t="shared" si="12"/>
        <v>4.7104673478024627E-2</v>
      </c>
      <c r="Q14" s="22">
        <f t="shared" si="13"/>
        <v>593.73889286444694</v>
      </c>
      <c r="R14" s="12"/>
      <c r="S14" s="1">
        <v>50</v>
      </c>
      <c r="T14" s="21">
        <f t="shared" si="14"/>
        <v>5.6137163845413063E-2</v>
      </c>
      <c r="U14" s="21">
        <f t="shared" si="15"/>
        <v>-286.17774696720011</v>
      </c>
      <c r="V14" s="21">
        <f t="shared" si="16"/>
        <v>198.5532461332476</v>
      </c>
      <c r="W14" s="21">
        <f t="shared" si="17"/>
        <v>-22.031576094364766</v>
      </c>
      <c r="X14" s="21">
        <f t="shared" si="18"/>
        <v>-24.854592365579364</v>
      </c>
      <c r="Y14" s="25">
        <f t="shared" si="19"/>
        <v>-134.45453213005123</v>
      </c>
    </row>
    <row r="15" spans="1:25" x14ac:dyDescent="0.25">
      <c r="A15" s="15">
        <v>55</v>
      </c>
      <c r="B15" s="21">
        <f t="shared" si="0"/>
        <v>-7.257506111068901</v>
      </c>
      <c r="C15" s="21">
        <f t="shared" si="1"/>
        <v>-130.58722326828698</v>
      </c>
      <c r="D15" s="21">
        <f t="shared" si="2"/>
        <v>-6.4490389974565518</v>
      </c>
      <c r="E15" s="21">
        <f t="shared" si="3"/>
        <v>94.815625742452752</v>
      </c>
      <c r="F15" s="21">
        <f t="shared" si="4"/>
        <v>16.671864951870109</v>
      </c>
      <c r="G15" s="21">
        <f t="shared" si="5"/>
        <v>1.7979232397878422E-2</v>
      </c>
      <c r="H15" s="22">
        <f t="shared" si="6"/>
        <v>-32.788298450091673</v>
      </c>
      <c r="I15" s="12"/>
      <c r="J15" s="1">
        <v>55</v>
      </c>
      <c r="K15" s="21">
        <f t="shared" si="7"/>
        <v>49.583376237318582</v>
      </c>
      <c r="L15" s="21">
        <f t="shared" si="8"/>
        <v>354.645462256332</v>
      </c>
      <c r="M15" s="21">
        <f t="shared" si="9"/>
        <v>37.529993839984201</v>
      </c>
      <c r="N15" s="21">
        <f t="shared" si="10"/>
        <v>132.65943127821618</v>
      </c>
      <c r="O15" s="21">
        <f t="shared" si="11"/>
        <v>41.757040554650281</v>
      </c>
      <c r="P15" s="21">
        <f t="shared" si="12"/>
        <v>4.0871944418353373E-2</v>
      </c>
      <c r="Q15" s="22">
        <f t="shared" si="13"/>
        <v>616.17530416650129</v>
      </c>
      <c r="R15" s="12"/>
      <c r="S15" s="1">
        <v>55</v>
      </c>
      <c r="T15" s="21">
        <f t="shared" si="14"/>
        <v>5.837118595274584E-2</v>
      </c>
      <c r="U15" s="21">
        <f t="shared" si="15"/>
        <v>-273.06762790572913</v>
      </c>
      <c r="V15" s="21">
        <f t="shared" si="16"/>
        <v>189.45730235552691</v>
      </c>
      <c r="W15" s="21">
        <f t="shared" si="17"/>
        <v>-22.106443295243785</v>
      </c>
      <c r="X15" s="21">
        <f t="shared" si="18"/>
        <v>-24.800708395978354</v>
      </c>
      <c r="Y15" s="25">
        <f t="shared" si="19"/>
        <v>-130.45910605547161</v>
      </c>
    </row>
    <row r="16" spans="1:25" x14ac:dyDescent="0.25">
      <c r="A16" s="15">
        <v>60</v>
      </c>
      <c r="B16" s="21">
        <f t="shared" si="0"/>
        <v>-15.573519228889589</v>
      </c>
      <c r="C16" s="21">
        <f t="shared" si="1"/>
        <v>-206.17537874999988</v>
      </c>
      <c r="D16" s="21">
        <f t="shared" si="2"/>
        <v>6.790066249999982</v>
      </c>
      <c r="E16" s="21">
        <f t="shared" si="3"/>
        <v>138.61117187499994</v>
      </c>
      <c r="F16" s="21">
        <f t="shared" si="4"/>
        <v>30.961300390624977</v>
      </c>
      <c r="G16" s="21">
        <f t="shared" si="5"/>
        <v>3.2049496874999972E-2</v>
      </c>
      <c r="H16" s="22">
        <f t="shared" si="6"/>
        <v>-45.35430996638955</v>
      </c>
      <c r="I16" s="12"/>
      <c r="J16" s="1">
        <v>60</v>
      </c>
      <c r="K16" s="21">
        <f t="shared" si="7"/>
        <v>65.20242547888958</v>
      </c>
      <c r="L16" s="21">
        <f t="shared" si="8"/>
        <v>405.08594499999992</v>
      </c>
      <c r="M16" s="21">
        <f t="shared" si="9"/>
        <v>32.715773750000004</v>
      </c>
      <c r="N16" s="21">
        <f t="shared" si="10"/>
        <v>100.80812500000003</v>
      </c>
      <c r="O16" s="21">
        <f t="shared" si="11"/>
        <v>34.082090625000014</v>
      </c>
      <c r="P16" s="21">
        <f t="shared" si="12"/>
        <v>3.3777012500000023E-2</v>
      </c>
      <c r="Q16" s="22">
        <f t="shared" si="13"/>
        <v>637.89435985388957</v>
      </c>
      <c r="R16" s="12"/>
      <c r="S16" s="1">
        <v>60</v>
      </c>
      <c r="T16" s="21">
        <f t="shared" si="14"/>
        <v>5.8503501777889072E-2</v>
      </c>
      <c r="U16" s="21">
        <f t="shared" si="15"/>
        <v>-251.66048714922957</v>
      </c>
      <c r="V16" s="21">
        <f t="shared" si="16"/>
        <v>174.60479431575433</v>
      </c>
      <c r="W16" s="21">
        <f t="shared" si="17"/>
        <v>-21.441006598456372</v>
      </c>
      <c r="X16" s="21">
        <f t="shared" si="18"/>
        <v>-24.108327376391866</v>
      </c>
      <c r="Y16" s="25">
        <f t="shared" si="19"/>
        <v>-122.54652330654558</v>
      </c>
    </row>
    <row r="17" spans="1:25" x14ac:dyDescent="0.25">
      <c r="A17" s="15">
        <v>65</v>
      </c>
      <c r="B17" s="21">
        <f t="shared" si="0"/>
        <v>-23.770529001764302</v>
      </c>
      <c r="C17" s="21">
        <f t="shared" si="1"/>
        <v>-276.33792566116654</v>
      </c>
      <c r="D17" s="21">
        <f t="shared" si="2"/>
        <v>20.713885177001487</v>
      </c>
      <c r="E17" s="21">
        <f t="shared" si="3"/>
        <v>178.19508769076262</v>
      </c>
      <c r="F17" s="21">
        <f t="shared" si="4"/>
        <v>44.889976861445021</v>
      </c>
      <c r="G17" s="21">
        <f t="shared" si="5"/>
        <v>4.585819112130738E-2</v>
      </c>
      <c r="H17" s="22">
        <f t="shared" si="6"/>
        <v>-56.263646742600422</v>
      </c>
      <c r="I17" s="12"/>
      <c r="J17" s="1">
        <v>65</v>
      </c>
      <c r="K17" s="21">
        <f t="shared" si="7"/>
        <v>81.080177318830025</v>
      </c>
      <c r="L17" s="21">
        <f t="shared" si="8"/>
        <v>451.34610265616021</v>
      </c>
      <c r="M17" s="21">
        <f t="shared" si="9"/>
        <v>27.652566867454006</v>
      </c>
      <c r="N17" s="21">
        <f t="shared" si="10"/>
        <v>72.019822588536258</v>
      </c>
      <c r="O17" s="21">
        <f t="shared" si="11"/>
        <v>26.410555740057593</v>
      </c>
      <c r="P17" s="21">
        <f t="shared" si="12"/>
        <v>2.6173635019240877E-2</v>
      </c>
      <c r="Q17" s="22">
        <f t="shared" si="13"/>
        <v>658.50922517103811</v>
      </c>
      <c r="R17" s="12"/>
      <c r="S17" s="1">
        <v>65</v>
      </c>
      <c r="T17" s="21">
        <f t="shared" si="14"/>
        <v>5.612954143365341E-2</v>
      </c>
      <c r="U17" s="21">
        <f t="shared" si="15"/>
        <v>-222.60676983705164</v>
      </c>
      <c r="V17" s="21">
        <f t="shared" si="16"/>
        <v>154.44700795498662</v>
      </c>
      <c r="W17" s="21">
        <f t="shared" si="17"/>
        <v>-19.967018087236376</v>
      </c>
      <c r="X17" s="21">
        <f t="shared" si="18"/>
        <v>-22.756983312431764</v>
      </c>
      <c r="Y17" s="25">
        <f t="shared" si="19"/>
        <v>-110.82763374029952</v>
      </c>
    </row>
    <row r="18" spans="1:25" x14ac:dyDescent="0.25">
      <c r="A18" s="15">
        <v>70</v>
      </c>
      <c r="B18" s="21">
        <f t="shared" si="0"/>
        <v>-31.669315268959785</v>
      </c>
      <c r="C18" s="21">
        <f t="shared" si="1"/>
        <v>-339.24156848081634</v>
      </c>
      <c r="D18" s="21">
        <f t="shared" si="2"/>
        <v>35.216449114081655</v>
      </c>
      <c r="E18" s="21">
        <f t="shared" si="3"/>
        <v>212.3646359381066</v>
      </c>
      <c r="F18" s="21">
        <f t="shared" si="4"/>
        <v>58.01568737752492</v>
      </c>
      <c r="G18" s="21">
        <f t="shared" si="5"/>
        <v>5.8763115157756805E-2</v>
      </c>
      <c r="H18" s="22">
        <f t="shared" si="6"/>
        <v>-65.255348204905218</v>
      </c>
      <c r="I18" s="12"/>
      <c r="J18" s="1">
        <v>70</v>
      </c>
      <c r="K18" s="21">
        <f t="shared" si="7"/>
        <v>96.978956511517424</v>
      </c>
      <c r="L18" s="21">
        <f t="shared" si="8"/>
        <v>492.12891027518634</v>
      </c>
      <c r="M18" s="21">
        <f t="shared" si="9"/>
        <v>22.378907253970304</v>
      </c>
      <c r="N18" s="21">
        <f t="shared" si="10"/>
        <v>47.16924204501337</v>
      </c>
      <c r="O18" s="21">
        <f t="shared" si="11"/>
        <v>19.057118420189695</v>
      </c>
      <c r="P18" s="21">
        <f t="shared" si="12"/>
        <v>1.8535705617231845E-2</v>
      </c>
      <c r="Q18" s="22">
        <f t="shared" si="13"/>
        <v>677.71313450587706</v>
      </c>
      <c r="R18" s="12"/>
      <c r="S18" s="1">
        <v>70</v>
      </c>
      <c r="T18" s="21">
        <f t="shared" si="14"/>
        <v>5.0926432637002715E-2</v>
      </c>
      <c r="U18" s="21">
        <f t="shared" si="15"/>
        <v>-186.78925846783571</v>
      </c>
      <c r="V18" s="21">
        <f t="shared" si="16"/>
        <v>129.59642741146376</v>
      </c>
      <c r="W18" s="21">
        <f t="shared" si="17"/>
        <v>-17.642027359271243</v>
      </c>
      <c r="X18" s="21">
        <f t="shared" si="18"/>
        <v>-20.734844037598535</v>
      </c>
      <c r="Y18" s="25">
        <f t="shared" si="19"/>
        <v>-95.518776020604719</v>
      </c>
    </row>
    <row r="19" spans="1:25" x14ac:dyDescent="0.25">
      <c r="A19" s="15">
        <v>75</v>
      </c>
      <c r="B19" s="21">
        <f t="shared" si="0"/>
        <v>-39.088071231342013</v>
      </c>
      <c r="C19" s="21">
        <f t="shared" si="1"/>
        <v>-393.28597940900528</v>
      </c>
      <c r="D19" s="21">
        <f t="shared" si="2"/>
        <v>50.187384792791875</v>
      </c>
      <c r="E19" s="21">
        <f t="shared" si="3"/>
        <v>240.08159218416222</v>
      </c>
      <c r="F19" s="21">
        <f t="shared" si="4"/>
        <v>69.882064896722639</v>
      </c>
      <c r="G19" s="21">
        <f t="shared" si="5"/>
        <v>7.0057898618406361E-2</v>
      </c>
      <c r="H19" s="22">
        <f t="shared" si="6"/>
        <v>-72.15295086805213</v>
      </c>
      <c r="I19" s="12"/>
      <c r="J19" s="1">
        <v>75</v>
      </c>
      <c r="K19" s="21">
        <f t="shared" si="7"/>
        <v>112.65607148112697</v>
      </c>
      <c r="L19" s="21">
        <f t="shared" si="8"/>
        <v>526.30828199607129</v>
      </c>
      <c r="M19" s="21">
        <f t="shared" si="9"/>
        <v>16.934930643530226</v>
      </c>
      <c r="N19" s="21">
        <f t="shared" si="10"/>
        <v>27.011455684245661</v>
      </c>
      <c r="O19" s="21">
        <f t="shared" si="11"/>
        <v>12.371554475301028</v>
      </c>
      <c r="P19" s="21">
        <f t="shared" si="12"/>
        <v>1.1438128854930004E-2</v>
      </c>
      <c r="Q19" s="22">
        <f t="shared" si="13"/>
        <v>695.28229428027532</v>
      </c>
      <c r="R19" s="12"/>
      <c r="S19" s="1">
        <v>75</v>
      </c>
      <c r="T19" s="21">
        <f t="shared" si="14"/>
        <v>4.2687678030118394E-2</v>
      </c>
      <c r="U19" s="21">
        <f t="shared" si="15"/>
        <v>-145.29625000000001</v>
      </c>
      <c r="V19" s="21">
        <f t="shared" si="16"/>
        <v>100.80812499999999</v>
      </c>
      <c r="W19" s="21">
        <f t="shared" si="17"/>
        <v>-14.456187120273528</v>
      </c>
      <c r="X19" s="21">
        <f t="shared" si="18"/>
        <v>-18.038969584736339</v>
      </c>
      <c r="Y19" s="25">
        <f t="shared" si="19"/>
        <v>-76.940594026979767</v>
      </c>
    </row>
    <row r="20" spans="1:25" x14ac:dyDescent="0.25">
      <c r="A20" s="15">
        <v>80</v>
      </c>
      <c r="B20" s="21">
        <f t="shared" si="0"/>
        <v>-45.844713262520976</v>
      </c>
      <c r="C20" s="21">
        <f t="shared" si="1"/>
        <v>-437.15005686633845</v>
      </c>
      <c r="D20" s="21">
        <f t="shared" si="2"/>
        <v>65.512754352918961</v>
      </c>
      <c r="E20" s="21">
        <f t="shared" si="3"/>
        <v>260.50379073884949</v>
      </c>
      <c r="F20" s="21">
        <f t="shared" si="4"/>
        <v>80.036433033952008</v>
      </c>
      <c r="G20" s="21">
        <f t="shared" si="5"/>
        <v>7.9003589959089585E-2</v>
      </c>
      <c r="H20" s="22">
        <f t="shared" si="6"/>
        <v>-76.862788413179871</v>
      </c>
      <c r="I20" s="12"/>
      <c r="J20" s="1">
        <v>80</v>
      </c>
      <c r="K20" s="21">
        <f t="shared" si="7"/>
        <v>127.86658750269009</v>
      </c>
      <c r="L20" s="21">
        <f t="shared" si="8"/>
        <v>552.9624259951695</v>
      </c>
      <c r="M20" s="21">
        <f t="shared" si="9"/>
        <v>11.362068985302196</v>
      </c>
      <c r="N20" s="21">
        <f t="shared" si="10"/>
        <v>12.158947644473107</v>
      </c>
      <c r="O20" s="21">
        <f t="shared" si="11"/>
        <v>6.7232595082972537</v>
      </c>
      <c r="P20" s="21">
        <f t="shared" si="12"/>
        <v>5.5283049352386751E-3</v>
      </c>
      <c r="Q20" s="22">
        <f t="shared" si="13"/>
        <v>711.07328963593216</v>
      </c>
      <c r="R20" s="12"/>
      <c r="S20" s="1">
        <v>80</v>
      </c>
      <c r="T20" s="21">
        <f t="shared" si="14"/>
        <v>3.135257527252195E-2</v>
      </c>
      <c r="U20" s="21">
        <f t="shared" si="15"/>
        <v>-99.388488499364442</v>
      </c>
      <c r="V20" s="21">
        <f t="shared" si="16"/>
        <v>68.956818721783876</v>
      </c>
      <c r="W20" s="21">
        <f t="shared" si="17"/>
        <v>-10.437686360697491</v>
      </c>
      <c r="X20" s="21">
        <f t="shared" si="18"/>
        <v>-14.675474060799825</v>
      </c>
      <c r="Y20" s="25">
        <f t="shared" si="19"/>
        <v>-55.513477623805358</v>
      </c>
    </row>
    <row r="21" spans="1:25" x14ac:dyDescent="0.25">
      <c r="A21" s="15">
        <v>85</v>
      </c>
      <c r="B21" s="21">
        <f t="shared" si="0"/>
        <v>-51.759222737615865</v>
      </c>
      <c r="C21" s="21">
        <f t="shared" si="1"/>
        <v>-469.82962341322559</v>
      </c>
      <c r="D21" s="21">
        <f t="shared" si="2"/>
        <v>81.075922478399278</v>
      </c>
      <c r="E21" s="21">
        <f t="shared" si="3"/>
        <v>273.01071343321541</v>
      </c>
      <c r="F21" s="21">
        <f t="shared" si="4"/>
        <v>88.049902778443254</v>
      </c>
      <c r="G21" s="21">
        <f t="shared" si="5"/>
        <v>8.4866425410035723E-2</v>
      </c>
      <c r="H21" s="27">
        <f t="shared" si="6"/>
        <v>-79.367441035373531</v>
      </c>
      <c r="I21" s="12"/>
      <c r="J21" s="1">
        <v>85</v>
      </c>
      <c r="K21" s="21">
        <f t="shared" si="7"/>
        <v>142.36614686567057</v>
      </c>
      <c r="L21" s="21">
        <f t="shared" si="8"/>
        <v>571.40096427022763</v>
      </c>
      <c r="M21" s="21">
        <f t="shared" si="9"/>
        <v>5.7027351214911732</v>
      </c>
      <c r="N21" s="21">
        <f t="shared" si="10"/>
        <v>3.0630038667524038</v>
      </c>
      <c r="O21" s="21">
        <f t="shared" si="11"/>
        <v>2.4825808677415564</v>
      </c>
      <c r="P21" s="21">
        <f t="shared" si="12"/>
        <v>1.4897501021216308E-3</v>
      </c>
      <c r="Q21" s="28">
        <f t="shared" si="13"/>
        <v>725.01543099188336</v>
      </c>
      <c r="R21" s="12"/>
      <c r="S21" s="1">
        <v>85</v>
      </c>
      <c r="T21" s="21">
        <f t="shared" si="14"/>
        <v>1.7027921585294297E-2</v>
      </c>
      <c r="U21" s="21">
        <f t="shared" si="15"/>
        <v>-50.460858068677439</v>
      </c>
      <c r="V21" s="21">
        <f t="shared" si="16"/>
        <v>35.010294400540225</v>
      </c>
      <c r="W21" s="21">
        <f t="shared" si="17"/>
        <v>-5.6562990301839857</v>
      </c>
      <c r="X21" s="21">
        <f t="shared" si="18"/>
        <v>-10.659588731289849</v>
      </c>
      <c r="Y21" s="25">
        <f t="shared" si="19"/>
        <v>-31.749423508025757</v>
      </c>
    </row>
    <row r="22" spans="1:25" x14ac:dyDescent="0.25">
      <c r="A22" s="15">
        <v>90</v>
      </c>
      <c r="B22" s="21">
        <f t="shared" si="0"/>
        <v>-56.655994780696567</v>
      </c>
      <c r="C22" s="21">
        <f t="shared" si="1"/>
        <v>-490.66543624999997</v>
      </c>
      <c r="D22" s="21">
        <f t="shared" si="2"/>
        <v>96.75844406249999</v>
      </c>
      <c r="E22" s="21">
        <f t="shared" si="3"/>
        <v>277.22234374999999</v>
      </c>
      <c r="F22" s="21">
        <f t="shared" si="4"/>
        <v>93.538671875000006</v>
      </c>
      <c r="G22" s="21">
        <f t="shared" si="5"/>
        <v>8.6959674999999986E-2</v>
      </c>
      <c r="H22" s="22">
        <f t="shared" si="6"/>
        <v>-79.715011668196581</v>
      </c>
      <c r="I22" s="12"/>
      <c r="J22" s="1">
        <v>90</v>
      </c>
      <c r="K22" s="21">
        <f t="shared" si="7"/>
        <v>155.91380728069657</v>
      </c>
      <c r="L22" s="21">
        <f t="shared" si="8"/>
        <v>581.18500000000006</v>
      </c>
      <c r="M22" s="21">
        <f t="shared" si="9"/>
        <v>4.0081679660952483E-15</v>
      </c>
      <c r="N22" s="21">
        <f t="shared" si="10"/>
        <v>1.5131186017923445E-30</v>
      </c>
      <c r="O22" s="21">
        <f t="shared" si="11"/>
        <v>1.0501413581494143E-15</v>
      </c>
      <c r="P22" s="21">
        <f t="shared" si="12"/>
        <v>1.2880619468061833E-33</v>
      </c>
      <c r="Q22" s="22">
        <f t="shared" si="13"/>
        <v>737.09880728069663</v>
      </c>
      <c r="R22" s="12"/>
      <c r="S22" s="1">
        <v>90</v>
      </c>
      <c r="T22" s="21">
        <f t="shared" si="14"/>
        <v>1.2802801353795078E-17</v>
      </c>
      <c r="U22" s="21">
        <f t="shared" si="15"/>
        <v>-3.5601895238303319E-14</v>
      </c>
      <c r="V22" s="21">
        <f>$C$2*$F$2*SIN(RADIANS(S22))*COS(RADIANS(S22))</f>
        <v>2.4700983717197005E-14</v>
      </c>
      <c r="W22" s="21">
        <f t="shared" si="17"/>
        <v>-0.22464243478680695</v>
      </c>
      <c r="X22" s="21">
        <f t="shared" si="18"/>
        <v>-6.0156250000000027</v>
      </c>
      <c r="Y22" s="25">
        <f t="shared" si="19"/>
        <v>-6.2402674347868201</v>
      </c>
    </row>
    <row r="23" spans="1:25" x14ac:dyDescent="0.25">
      <c r="A23" s="15">
        <v>95</v>
      </c>
      <c r="B23" s="21">
        <f t="shared" si="0"/>
        <v>-60.366168607040393</v>
      </c>
      <c r="C23" s="21">
        <f>$D$2*$C$2^2*IF(AND(A23&gt;=0, A23&lt;=90),
0.193+0.106*COS(RADIANS(A23))-0.5*SIN(RADIANS(A23))^2,
IF(AND(A23&gt;90, A23&lt;=180),
0.693+0.106*COS(RADIANS(A23))-SIN(RADIANS(A23)),
""))</f>
        <v>-499.34910659541521</v>
      </c>
      <c r="D23" s="21">
        <f t="shared" si="2"/>
        <v>112.42867535286769</v>
      </c>
      <c r="E23" s="21">
        <f t="shared" si="3"/>
        <v>273.01071343321541</v>
      </c>
      <c r="F23" s="21">
        <f t="shared" si="4"/>
        <v>96.185315759486713</v>
      </c>
      <c r="G23" s="21">
        <f t="shared" si="5"/>
        <v>8.4687052611847571E-2</v>
      </c>
      <c r="H23" s="22">
        <f t="shared" si="6"/>
        <v>-78.005883604273933</v>
      </c>
      <c r="I23" s="12"/>
      <c r="J23" s="1">
        <v>95</v>
      </c>
      <c r="K23" s="21">
        <f t="shared" si="7"/>
        <v>168.27486947898566</v>
      </c>
      <c r="L23" s="21">
        <f t="shared" si="8"/>
        <v>584.3426983074238</v>
      </c>
      <c r="M23" s="21">
        <f t="shared" si="9"/>
        <v>-8.042728731348971</v>
      </c>
      <c r="N23" s="21">
        <f t="shared" si="10"/>
        <v>3.0630038667524109</v>
      </c>
      <c r="O23" s="21">
        <f t="shared" si="11"/>
        <v>-0.41558071350879028</v>
      </c>
      <c r="P23" s="21">
        <f t="shared" si="12"/>
        <v>1.6854295183268858E-3</v>
      </c>
      <c r="Q23" s="22">
        <f t="shared" si="13"/>
        <v>747.22226220830419</v>
      </c>
      <c r="R23" s="12"/>
      <c r="S23" s="1">
        <v>95</v>
      </c>
      <c r="T23" s="21">
        <f t="shared" si="14"/>
        <v>-1.9264547547094155E-2</v>
      </c>
      <c r="U23" s="21">
        <f t="shared" si="15"/>
        <v>50.460858068677496</v>
      </c>
      <c r="V23" s="21">
        <f t="shared" si="16"/>
        <v>-35.010294400540268</v>
      </c>
      <c r="W23" s="21">
        <f t="shared" si="17"/>
        <v>5.7031214905804077</v>
      </c>
      <c r="X23" s="21">
        <f t="shared" si="18"/>
        <v>-0.81444381950587108</v>
      </c>
      <c r="Y23" s="25">
        <f t="shared" si="19"/>
        <v>20.319976791664669</v>
      </c>
    </row>
    <row r="24" spans="1:25" x14ac:dyDescent="0.25">
      <c r="A24" s="15">
        <v>100</v>
      </c>
      <c r="B24" s="21">
        <f t="shared" si="0"/>
        <v>-62.729914160841496</v>
      </c>
      <c r="C24" s="21">
        <f t="shared" si="1"/>
        <v>-495.80297482363937</v>
      </c>
      <c r="D24" s="21">
        <f t="shared" si="2"/>
        <v>127.80823665293578</v>
      </c>
      <c r="E24" s="21">
        <f t="shared" si="3"/>
        <v>260.50379073884949</v>
      </c>
      <c r="F24" s="21">
        <f t="shared" si="4"/>
        <v>95.758766404151743</v>
      </c>
      <c r="G24" s="21">
        <f t="shared" si="5"/>
        <v>7.7584926939260779E-2</v>
      </c>
      <c r="H24" s="22">
        <f t="shared" si="6"/>
        <v>-74.384510261604646</v>
      </c>
      <c r="I24" s="12"/>
      <c r="J24" s="1">
        <v>100</v>
      </c>
      <c r="K24" s="21">
        <f t="shared" si="7"/>
        <v>179.22366492067235</v>
      </c>
      <c r="L24" s="21">
        <f t="shared" si="8"/>
        <v>583.05319584495976</v>
      </c>
      <c r="M24" s="21">
        <f t="shared" si="9"/>
        <v>-20.597449583511978</v>
      </c>
      <c r="N24" s="21">
        <f t="shared" si="10"/>
        <v>12.158947644473091</v>
      </c>
      <c r="O24" s="21">
        <f t="shared" si="11"/>
        <v>1.4819363549000013</v>
      </c>
      <c r="P24" s="21">
        <f t="shared" si="12"/>
        <v>7.0759373205064747E-3</v>
      </c>
      <c r="Q24" s="22">
        <f t="shared" si="13"/>
        <v>755.32029518149318</v>
      </c>
      <c r="R24" s="12"/>
      <c r="S24" s="1">
        <v>100</v>
      </c>
      <c r="T24" s="21">
        <f t="shared" si="14"/>
        <v>-4.0129634682542811E-2</v>
      </c>
      <c r="U24" s="21">
        <f t="shared" si="15"/>
        <v>99.388488499364385</v>
      </c>
      <c r="V24" s="21">
        <f t="shared" si="16"/>
        <v>-68.956818721783833</v>
      </c>
      <c r="W24" s="21">
        <f t="shared" si="17"/>
        <v>11.935246279462378</v>
      </c>
      <c r="X24" s="21">
        <f t="shared" si="18"/>
        <v>4.7156760165072802</v>
      </c>
      <c r="Y24" s="25">
        <f t="shared" si="19"/>
        <v>47.042462438867666</v>
      </c>
    </row>
    <row r="25" spans="1:25" x14ac:dyDescent="0.25">
      <c r="A25" s="15">
        <v>105</v>
      </c>
      <c r="B25" s="21">
        <f t="shared" si="0"/>
        <v>-63.598650023620785</v>
      </c>
      <c r="C25" s="21">
        <f t="shared" si="1"/>
        <v>-480.05402913866885</v>
      </c>
      <c r="D25" s="21">
        <f t="shared" si="2"/>
        <v>142.34405311194078</v>
      </c>
      <c r="E25" s="21">
        <f t="shared" si="3"/>
        <v>240.08159218416219</v>
      </c>
      <c r="F25" s="21">
        <f t="shared" si="4"/>
        <v>92.131667263291405</v>
      </c>
      <c r="G25" s="21">
        <f t="shared" si="5"/>
        <v>6.5360501794146736E-2</v>
      </c>
      <c r="H25" s="22">
        <f t="shared" si="6"/>
        <v>-69.030006101101094</v>
      </c>
      <c r="I25" s="12"/>
      <c r="J25" s="1">
        <v>105</v>
      </c>
      <c r="K25" s="21">
        <f>$B$2*$C$2^2*(RADIANS(J25)*SIN(RADIANS(J25))-0.5*COS(RADIANS(J25)))</f>
        <v>188.54627477383582</v>
      </c>
      <c r="L25" s="21">
        <f t="shared" si="8"/>
        <v>577.32630650497049</v>
      </c>
      <c r="M25" s="21">
        <f t="shared" si="9"/>
        <v>-37.251502929811636</v>
      </c>
      <c r="N25" s="21">
        <f t="shared" si="10"/>
        <v>27.011455684245686</v>
      </c>
      <c r="O25" s="21">
        <f t="shared" si="11"/>
        <v>5.8565266810524452</v>
      </c>
      <c r="P25" s="21">
        <f t="shared" si="12"/>
        <v>1.6562561754122324E-2</v>
      </c>
      <c r="Q25" s="22">
        <f t="shared" si="13"/>
        <v>761.4890607142928</v>
      </c>
      <c r="R25" s="12"/>
      <c r="S25" s="1">
        <v>105</v>
      </c>
      <c r="T25" s="21">
        <f t="shared" si="14"/>
        <v>-6.1812321969881623E-2</v>
      </c>
      <c r="U25" s="21">
        <f t="shared" si="15"/>
        <v>145.29625000000007</v>
      </c>
      <c r="V25" s="21">
        <f t="shared" si="16"/>
        <v>-100.80812500000003</v>
      </c>
      <c r="W25" s="21">
        <f t="shared" si="17"/>
        <v>18.248951090040265</v>
      </c>
      <c r="X25" s="21">
        <f t="shared" si="18"/>
        <v>10.308995375390319</v>
      </c>
      <c r="Y25" s="25">
        <f t="shared" si="19"/>
        <v>72.984259143460747</v>
      </c>
    </row>
    <row r="26" spans="1:25" x14ac:dyDescent="0.25">
      <c r="A26" s="15">
        <v>110</v>
      </c>
      <c r="B26" s="21">
        <f t="shared" si="0"/>
        <v>-62.837168091653801</v>
      </c>
      <c r="C26" s="21">
        <f t="shared" si="1"/>
        <v>-452.22212852663949</v>
      </c>
      <c r="D26" s="21">
        <f t="shared" si="2"/>
        <v>155.21352212764106</v>
      </c>
      <c r="E26" s="21">
        <f t="shared" si="3"/>
        <v>212.36463593810666</v>
      </c>
      <c r="F26" s="21">
        <f t="shared" si="4"/>
        <v>85.29387223562145</v>
      </c>
      <c r="G26" s="21">
        <f t="shared" si="5"/>
        <v>4.7923256683559463E-2</v>
      </c>
      <c r="H26" s="22">
        <f t="shared" si="6"/>
        <v>-62.139343060240549</v>
      </c>
      <c r="I26" s="12"/>
      <c r="J26" s="1">
        <v>110</v>
      </c>
      <c r="K26" s="21">
        <f t="shared" si="7"/>
        <v>196.04315184909618</v>
      </c>
      <c r="L26" s="21">
        <f t="shared" si="8"/>
        <v>567.20561537332344</v>
      </c>
      <c r="M26" s="21">
        <f t="shared" si="9"/>
        <v>-57.360340450455418</v>
      </c>
      <c r="N26" s="21">
        <f t="shared" si="10"/>
        <v>47.169242045013334</v>
      </c>
      <c r="O26" s="21">
        <f t="shared" si="11"/>
        <v>12.773997315703856</v>
      </c>
      <c r="P26" s="21">
        <f t="shared" si="12"/>
        <v>3.0361005770901731E-2</v>
      </c>
      <c r="Q26" s="22">
        <f t="shared" si="13"/>
        <v>765.83166613268133</v>
      </c>
      <c r="R26" s="12"/>
      <c r="S26" s="1">
        <v>110</v>
      </c>
      <c r="T26" s="21">
        <f t="shared" si="14"/>
        <v>-8.3416177787484017E-2</v>
      </c>
      <c r="U26" s="21">
        <f t="shared" si="15"/>
        <v>186.78925846783571</v>
      </c>
      <c r="V26" s="21">
        <f t="shared" si="16"/>
        <v>-129.59642741146371</v>
      </c>
      <c r="W26" s="21">
        <f t="shared" si="17"/>
        <v>24.399312882340752</v>
      </c>
      <c r="X26" s="21">
        <f t="shared" si="18"/>
        <v>15.708597234796626</v>
      </c>
      <c r="Y26" s="25">
        <f t="shared" si="19"/>
        <v>97.217324995721896</v>
      </c>
    </row>
    <row r="27" spans="1:25" x14ac:dyDescent="0.25">
      <c r="A27" s="15">
        <v>115</v>
      </c>
      <c r="B27" s="21">
        <f t="shared" si="0"/>
        <v>-60.325641288289404</v>
      </c>
      <c r="C27" s="21">
        <f t="shared" si="1"/>
        <v>-412.51909055657012</v>
      </c>
      <c r="D27" s="21">
        <f t="shared" si="2"/>
        <v>165.35240688726307</v>
      </c>
      <c r="E27" s="21">
        <f t="shared" si="3"/>
        <v>178.19508769076268</v>
      </c>
      <c r="F27" s="21">
        <f t="shared" si="4"/>
        <v>75.361021754124565</v>
      </c>
      <c r="G27" s="21">
        <f t="shared" si="5"/>
        <v>2.5407248212361903E-2</v>
      </c>
      <c r="H27" s="22">
        <f t="shared" si="6"/>
        <v>-53.91080826449685</v>
      </c>
      <c r="I27" s="12"/>
      <c r="J27" s="1">
        <v>115</v>
      </c>
      <c r="K27" s="21">
        <f t="shared" si="7"/>
        <v>201.53161797122365</v>
      </c>
      <c r="L27" s="21">
        <f t="shared" si="8"/>
        <v>552.76814702057095</v>
      </c>
      <c r="M27" s="21">
        <f t="shared" si="9"/>
        <v>-80.068163653305987</v>
      </c>
      <c r="N27" s="21">
        <f t="shared" si="10"/>
        <v>72.019822588536215</v>
      </c>
      <c r="O27" s="21">
        <f t="shared" si="11"/>
        <v>22.190422539528175</v>
      </c>
      <c r="P27" s="21">
        <f t="shared" si="12"/>
        <v>4.8483754556272352E-2</v>
      </c>
      <c r="Q27" s="22">
        <f t="shared" si="13"/>
        <v>768.4418464665531</v>
      </c>
      <c r="R27" s="12"/>
      <c r="S27" s="1">
        <v>115</v>
      </c>
      <c r="T27" s="21">
        <f t="shared" si="14"/>
        <v>-0.10397374717821296</v>
      </c>
      <c r="U27" s="21">
        <f t="shared" si="15"/>
        <v>222.60676983705164</v>
      </c>
      <c r="V27" s="21">
        <f t="shared" si="16"/>
        <v>-154.44700795498662</v>
      </c>
      <c r="W27" s="21">
        <f t="shared" si="17"/>
        <v>30.130086726006233</v>
      </c>
      <c r="X27" s="21">
        <f t="shared" si="18"/>
        <v>20.674618750441269</v>
      </c>
      <c r="Y27" s="25">
        <f t="shared" si="19"/>
        <v>118.86049361133432</v>
      </c>
    </row>
    <row r="28" spans="1:25" x14ac:dyDescent="0.25">
      <c r="A28" s="15">
        <v>120</v>
      </c>
      <c r="B28" s="21">
        <f t="shared" si="0"/>
        <v>-55.961491582779203</v>
      </c>
      <c r="C28" s="21">
        <f t="shared" si="1"/>
        <v>-361.24707932076223</v>
      </c>
      <c r="D28" s="21">
        <f t="shared" si="2"/>
        <v>171.49229615733478</v>
      </c>
      <c r="E28" s="21">
        <f t="shared" si="3"/>
        <v>138.61117187500011</v>
      </c>
      <c r="F28" s="21">
        <f t="shared" si="4"/>
        <v>62.577371484375007</v>
      </c>
      <c r="G28" s="21">
        <f t="shared" si="5"/>
        <v>-1.8176468749999512E-3</v>
      </c>
      <c r="H28" s="22">
        <f t="shared" si="6"/>
        <v>-44.529549033706544</v>
      </c>
      <c r="I28" s="12"/>
      <c r="J28" s="1">
        <v>120</v>
      </c>
      <c r="K28" s="21">
        <f t="shared" si="7"/>
        <v>204.84821033277919</v>
      </c>
      <c r="L28" s="21">
        <f t="shared" si="8"/>
        <v>534.123779298459</v>
      </c>
      <c r="M28" s="21">
        <f t="shared" si="9"/>
        <v>-104.33578996630354</v>
      </c>
      <c r="N28" s="21">
        <f t="shared" si="10"/>
        <v>100.8081249999999</v>
      </c>
      <c r="O28" s="21">
        <f t="shared" si="11"/>
        <v>33.946034374999968</v>
      </c>
      <c r="P28" s="21">
        <f t="shared" si="12"/>
        <v>7.0722987499999931E-2</v>
      </c>
      <c r="Q28" s="22">
        <f t="shared" si="13"/>
        <v>769.39035903993454</v>
      </c>
      <c r="R28" s="12"/>
      <c r="S28" s="1">
        <v>120</v>
      </c>
      <c r="T28" s="21">
        <f t="shared" si="14"/>
        <v>-0.12249580761305855</v>
      </c>
      <c r="U28" s="21">
        <f t="shared" si="15"/>
        <v>251.66048714922943</v>
      </c>
      <c r="V28" s="21">
        <f t="shared" si="16"/>
        <v>-174.60479431575425</v>
      </c>
      <c r="W28" s="21">
        <f t="shared" si="17"/>
        <v>35.185896857251855</v>
      </c>
      <c r="X28" s="21">
        <f t="shared" si="18"/>
        <v>24.991788225729721</v>
      </c>
      <c r="Y28" s="25">
        <f t="shared" si="19"/>
        <v>137.1108821088437</v>
      </c>
    </row>
    <row r="29" spans="1:25" x14ac:dyDescent="0.25">
      <c r="A29" s="15">
        <v>125</v>
      </c>
      <c r="B29" s="21">
        <f t="shared" si="0"/>
        <v>-49.661096822656063</v>
      </c>
      <c r="C29" s="21">
        <f t="shared" si="1"/>
        <v>-298.79630578360769</v>
      </c>
      <c r="D29" s="21">
        <f t="shared" si="2"/>
        <v>172.20645313276697</v>
      </c>
      <c r="E29" s="21">
        <f t="shared" si="3"/>
        <v>94.815625742452752</v>
      </c>
      <c r="F29" s="21">
        <f t="shared" si="4"/>
        <v>47.312354970490276</v>
      </c>
      <c r="G29" s="21">
        <f t="shared" si="5"/>
        <v>-3.3146843709664434E-2</v>
      </c>
      <c r="H29" s="22">
        <f t="shared" si="6"/>
        <v>-34.156115604263441</v>
      </c>
      <c r="I29" s="12"/>
      <c r="J29" s="1">
        <v>125</v>
      </c>
      <c r="K29" s="21">
        <f t="shared" si="7"/>
        <v>205.85085169640638</v>
      </c>
      <c r="L29" s="21">
        <f t="shared" si="8"/>
        <v>511.41440710313003</v>
      </c>
      <c r="M29" s="21">
        <f t="shared" si="9"/>
        <v>-128.97488552519292</v>
      </c>
      <c r="N29" s="21">
        <f t="shared" si="10"/>
        <v>132.65943127821618</v>
      </c>
      <c r="O29" s="21">
        <f t="shared" si="11"/>
        <v>47.765231319996715</v>
      </c>
      <c r="P29" s="21">
        <f t="shared" si="12"/>
        <v>9.6645845626581905E-2</v>
      </c>
      <c r="Q29" s="22">
        <f t="shared" si="13"/>
        <v>768.71503587255643</v>
      </c>
      <c r="R29" s="12"/>
      <c r="S29" s="1">
        <v>125</v>
      </c>
      <c r="T29" s="21">
        <f t="shared" si="14"/>
        <v>-0.13802457179150901</v>
      </c>
      <c r="U29" s="21">
        <f t="shared" si="15"/>
        <v>273.06762790572913</v>
      </c>
      <c r="V29" s="21">
        <f t="shared" si="16"/>
        <v>-189.45730235552685</v>
      </c>
      <c r="W29" s="21">
        <f t="shared" si="17"/>
        <v>39.325130115643049</v>
      </c>
      <c r="X29" s="21">
        <f t="shared" si="18"/>
        <v>28.476038578678672</v>
      </c>
      <c r="Y29" s="25">
        <f t="shared" si="19"/>
        <v>151.27346967273249</v>
      </c>
    </row>
    <row r="30" spans="1:25" x14ac:dyDescent="0.25">
      <c r="A30" s="15">
        <v>130</v>
      </c>
      <c r="B30" s="21">
        <f t="shared" si="0"/>
        <v>-41.361316341061972</v>
      </c>
      <c r="C30" s="21">
        <f t="shared" si="1"/>
        <v>-225.64205804053216</v>
      </c>
      <c r="D30" s="21">
        <f t="shared" si="2"/>
        <v>165.96260462660982</v>
      </c>
      <c r="E30" s="21">
        <f t="shared" si="3"/>
        <v>48.139154800742823</v>
      </c>
      <c r="F30" s="21">
        <f t="shared" si="4"/>
        <v>30.050712677606569</v>
      </c>
      <c r="G30" s="21">
        <f t="shared" si="5"/>
        <v>-6.7755086764282338E-2</v>
      </c>
      <c r="H30" s="22">
        <f t="shared" si="6"/>
        <v>-22.918657363399216</v>
      </c>
      <c r="I30" s="12"/>
      <c r="J30" s="1">
        <v>130</v>
      </c>
      <c r="K30" s="21">
        <f t="shared" si="7"/>
        <v>204.42082088065166</v>
      </c>
      <c r="L30" s="21">
        <f t="shared" si="8"/>
        <v>484.81286246928443</v>
      </c>
      <c r="M30" s="21">
        <f t="shared" si="9"/>
        <v>-152.68750428353479</v>
      </c>
      <c r="N30" s="21">
        <f t="shared" si="10"/>
        <v>166.60595559945975</v>
      </c>
      <c r="O30" s="21">
        <f t="shared" si="11"/>
        <v>63.263006616579197</v>
      </c>
      <c r="P30" s="21">
        <f t="shared" si="12"/>
        <v>0.12560285738958696</v>
      </c>
      <c r="Q30" s="22">
        <f t="shared" si="13"/>
        <v>766.41514128244023</v>
      </c>
      <c r="R30" s="12"/>
      <c r="S30" s="1">
        <v>130</v>
      </c>
      <c r="T30" s="21">
        <f t="shared" si="14"/>
        <v>-0.14968765653413843</v>
      </c>
      <c r="U30" s="21">
        <f t="shared" si="15"/>
        <v>286.17774696720011</v>
      </c>
      <c r="V30" s="21">
        <f t="shared" si="16"/>
        <v>-198.5532461332476</v>
      </c>
      <c r="W30" s="21">
        <f t="shared" si="17"/>
        <v>42.332792999050071</v>
      </c>
      <c r="X30" s="21">
        <f t="shared" si="18"/>
        <v>30.979998984122911</v>
      </c>
      <c r="Y30" s="25">
        <f t="shared" si="19"/>
        <v>160.78760516059137</v>
      </c>
    </row>
    <row r="31" spans="1:25" x14ac:dyDescent="0.25">
      <c r="A31" s="15">
        <v>135</v>
      </c>
      <c r="B31" s="21">
        <f t="shared" si="0"/>
        <v>-31.020816960943147</v>
      </c>
      <c r="C31" s="21">
        <f t="shared" si="1"/>
        <v>-142.34108408860305</v>
      </c>
      <c r="D31" s="21">
        <f t="shared" si="2"/>
        <v>151.18099479487196</v>
      </c>
      <c r="E31" s="21">
        <f t="shared" si="3"/>
        <v>6.1555725794359971E-14</v>
      </c>
      <c r="F31" s="21">
        <f t="shared" si="4"/>
        <v>11.376394619991327</v>
      </c>
      <c r="G31" s="21">
        <f t="shared" si="5"/>
        <v>-0.10462319901008915</v>
      </c>
      <c r="H31" s="22">
        <f t="shared" si="6"/>
        <v>-10.909134833692928</v>
      </c>
      <c r="I31" s="12"/>
      <c r="J31" s="1">
        <v>135</v>
      </c>
      <c r="K31" s="21">
        <f t="shared" si="7"/>
        <v>200.46450176543598</v>
      </c>
      <c r="L31" s="21">
        <f t="shared" si="8"/>
        <v>454.52159921403751</v>
      </c>
      <c r="M31" s="21">
        <f t="shared" si="9"/>
        <v>-174.10970594813526</v>
      </c>
      <c r="N31" s="21">
        <f t="shared" si="10"/>
        <v>201.61624999999992</v>
      </c>
      <c r="O31" s="21">
        <f t="shared" si="11"/>
        <v>79.957705827728688</v>
      </c>
      <c r="P31" s="21">
        <f t="shared" si="12"/>
        <v>0.15674949892009726</v>
      </c>
      <c r="Q31" s="22">
        <f t="shared" si="13"/>
        <v>762.45035085906682</v>
      </c>
      <c r="R31" s="12"/>
      <c r="S31" s="1">
        <v>135</v>
      </c>
      <c r="T31" s="21">
        <f t="shared" si="14"/>
        <v>-0.15674949892009729</v>
      </c>
      <c r="U31" s="21">
        <f t="shared" si="15"/>
        <v>290.59250000000003</v>
      </c>
      <c r="V31" s="21">
        <f t="shared" si="16"/>
        <v>-201.61625000000001</v>
      </c>
      <c r="W31" s="21">
        <f t="shared" si="17"/>
        <v>44.032569255462136</v>
      </c>
      <c r="X31" s="21">
        <f t="shared" si="18"/>
        <v>32.397202433533778</v>
      </c>
      <c r="Y31" s="31">
        <f t="shared" si="19"/>
        <v>165.24927219007586</v>
      </c>
    </row>
    <row r="32" spans="1:25" x14ac:dyDescent="0.25">
      <c r="A32" s="15">
        <v>140</v>
      </c>
      <c r="B32" s="21">
        <f t="shared" si="0"/>
        <v>-18.621182869916339</v>
      </c>
      <c r="C32" s="21">
        <f t="shared" si="1"/>
        <v>-49.52735463809762</v>
      </c>
      <c r="D32" s="21">
        <f t="shared" si="2"/>
        <v>126.29585196896397</v>
      </c>
      <c r="E32" s="21">
        <f t="shared" si="3"/>
        <v>-48.139154800742702</v>
      </c>
      <c r="F32" s="21">
        <f t="shared" si="4"/>
        <v>-8.0491814680142149</v>
      </c>
      <c r="G32" s="21">
        <f t="shared" si="5"/>
        <v>-0.14257653747551435</v>
      </c>
      <c r="H32" s="22">
        <f t="shared" si="6"/>
        <v>1.8164016547175827</v>
      </c>
      <c r="I32" s="12"/>
      <c r="J32" s="1">
        <v>140</v>
      </c>
      <c r="K32" s="21">
        <f t="shared" si="7"/>
        <v>193.91489107168675</v>
      </c>
      <c r="L32" s="21">
        <f t="shared" si="8"/>
        <v>420.77115214112644</v>
      </c>
      <c r="M32" s="21">
        <f t="shared" si="9"/>
        <v>-191.85789561485566</v>
      </c>
      <c r="N32" s="21">
        <f t="shared" si="10"/>
        <v>236.62654440054013</v>
      </c>
      <c r="O32" s="21">
        <f t="shared" si="11"/>
        <v>97.289627743110614</v>
      </c>
      <c r="P32" s="21">
        <f t="shared" si="12"/>
        <v>0.18908002359928219</v>
      </c>
      <c r="Q32" s="22">
        <f t="shared" si="13"/>
        <v>756.74431974160814</v>
      </c>
      <c r="R32" s="12"/>
      <c r="S32" s="1">
        <v>140</v>
      </c>
      <c r="T32" s="21">
        <f t="shared" si="14"/>
        <v>-0.15865697806514914</v>
      </c>
      <c r="U32" s="21">
        <f t="shared" si="15"/>
        <v>286.17774696720011</v>
      </c>
      <c r="V32" s="21">
        <f t="shared" si="16"/>
        <v>-198.5532461332476</v>
      </c>
      <c r="W32" s="21">
        <f t="shared" si="17"/>
        <v>44.297339150378036</v>
      </c>
      <c r="X32" s="21">
        <f t="shared" si="18"/>
        <v>32.664887885015887</v>
      </c>
      <c r="Y32" s="25">
        <f t="shared" si="19"/>
        <v>164.42807089128127</v>
      </c>
    </row>
    <row r="33" spans="1:25" x14ac:dyDescent="0.25">
      <c r="A33" s="15">
        <v>145</v>
      </c>
      <c r="B33" s="21">
        <f t="shared" si="0"/>
        <v>-4.1677948662405262</v>
      </c>
      <c r="C33" s="21">
        <f t="shared" si="1"/>
        <v>52.092761787404179</v>
      </c>
      <c r="D33" s="21">
        <f t="shared" si="2"/>
        <v>89.818298467061823</v>
      </c>
      <c r="E33" s="21">
        <f t="shared" si="3"/>
        <v>-94.815625742452909</v>
      </c>
      <c r="F33" s="21">
        <f t="shared" si="4"/>
        <v>-27.513583699476992</v>
      </c>
      <c r="G33" s="21">
        <f t="shared" si="5"/>
        <v>-0.18033340264950723</v>
      </c>
      <c r="H33" s="22">
        <f t="shared" si="6"/>
        <v>15.233722543646058</v>
      </c>
      <c r="I33" s="12"/>
      <c r="J33" s="1">
        <v>145</v>
      </c>
      <c r="K33" s="21">
        <f t="shared" si="7"/>
        <v>184.73284738726898</v>
      </c>
      <c r="L33" s="21">
        <f t="shared" si="8"/>
        <v>383.81838253185305</v>
      </c>
      <c r="M33" s="21">
        <f t="shared" si="9"/>
        <v>-204.57643982929042</v>
      </c>
      <c r="N33" s="21">
        <f t="shared" si="10"/>
        <v>270.5730687217839</v>
      </c>
      <c r="O33" s="21">
        <f t="shared" si="11"/>
        <v>114.64460855064556</v>
      </c>
      <c r="P33" s="21">
        <f t="shared" si="12"/>
        <v>0.22147189585615079</v>
      </c>
      <c r="Q33" s="22">
        <f t="shared" si="13"/>
        <v>749.19246736226114</v>
      </c>
      <c r="R33" s="12"/>
      <c r="S33" s="1">
        <v>145</v>
      </c>
      <c r="T33" s="21">
        <f t="shared" si="14"/>
        <v>-0.1550762909800725</v>
      </c>
      <c r="U33" s="21">
        <f t="shared" si="15"/>
        <v>273.06762790572907</v>
      </c>
      <c r="V33" s="21">
        <f t="shared" si="16"/>
        <v>-189.45730235552688</v>
      </c>
      <c r="W33" s="21">
        <f t="shared" si="17"/>
        <v>43.05749357286296</v>
      </c>
      <c r="X33" s="21">
        <f t="shared" si="18"/>
        <v>31.765320209216846</v>
      </c>
      <c r="Y33" s="25">
        <f t="shared" si="19"/>
        <v>158.27806304130195</v>
      </c>
    </row>
    <row r="34" spans="1:25" x14ac:dyDescent="0.25">
      <c r="A34" s="15">
        <v>150</v>
      </c>
      <c r="B34" s="21">
        <f t="shared" si="0"/>
        <v>12.309533340622517</v>
      </c>
      <c r="C34" s="21">
        <f t="shared" si="1"/>
        <v>161.74587474199922</v>
      </c>
      <c r="D34" s="21">
        <f t="shared" si="2"/>
        <v>40.398675195802426</v>
      </c>
      <c r="E34" s="21">
        <f t="shared" si="3"/>
        <v>-138.61117187500005</v>
      </c>
      <c r="F34" s="21">
        <f t="shared" si="4"/>
        <v>-46.283294741019979</v>
      </c>
      <c r="G34" s="21">
        <f t="shared" si="5"/>
        <v>-0.21656099552335814</v>
      </c>
      <c r="H34" s="22">
        <f t="shared" si="6"/>
        <v>29.343055666880758</v>
      </c>
      <c r="I34" s="12"/>
      <c r="J34" s="1">
        <v>150</v>
      </c>
      <c r="K34" s="21">
        <f t="shared" si="7"/>
        <v>172.90806630845009</v>
      </c>
      <c r="L34" s="21">
        <f t="shared" si="8"/>
        <v>343.9445232756367</v>
      </c>
      <c r="M34" s="21">
        <f t="shared" si="9"/>
        <v>-210.98506984392819</v>
      </c>
      <c r="N34" s="21">
        <f t="shared" si="10"/>
        <v>302.424375</v>
      </c>
      <c r="O34" s="21">
        <f t="shared" si="11"/>
        <v>131.38140154206801</v>
      </c>
      <c r="P34" s="21">
        <f t="shared" si="12"/>
        <v>0.25273845875275436</v>
      </c>
      <c r="Q34" s="22">
        <f t="shared" si="13"/>
        <v>739.6732962822266</v>
      </c>
      <c r="R34" s="12"/>
      <c r="S34" s="1">
        <v>150</v>
      </c>
      <c r="T34" s="21">
        <f t="shared" si="14"/>
        <v>-0.1459186171954738</v>
      </c>
      <c r="U34" s="21">
        <f t="shared" si="15"/>
        <v>251.66048714922948</v>
      </c>
      <c r="V34" s="21">
        <f t="shared" si="16"/>
        <v>-174.6047943157543</v>
      </c>
      <c r="W34" s="21">
        <f t="shared" si="17"/>
        <v>40.306492056562057</v>
      </c>
      <c r="X34" s="21">
        <f t="shared" si="18"/>
        <v>29.7255979014144</v>
      </c>
      <c r="Y34" s="25">
        <f t="shared" si="19"/>
        <v>146.94186417425618</v>
      </c>
    </row>
    <row r="35" spans="1:25" x14ac:dyDescent="0.25">
      <c r="A35" s="15">
        <v>155</v>
      </c>
      <c r="B35" s="21">
        <f t="shared" si="0"/>
        <v>30.756171771786057</v>
      </c>
      <c r="C35" s="21">
        <f t="shared" si="1"/>
        <v>278.59745782574367</v>
      </c>
      <c r="D35" s="21">
        <f t="shared" si="2"/>
        <v>-23.113742692482887</v>
      </c>
      <c r="E35" s="21">
        <f t="shared" si="3"/>
        <v>-178.19508769076262</v>
      </c>
      <c r="F35" s="21">
        <f t="shared" si="4"/>
        <v>-63.635642243512848</v>
      </c>
      <c r="G35" s="21">
        <f t="shared" si="5"/>
        <v>-0.24993599978850323</v>
      </c>
      <c r="H35" s="22">
        <f t="shared" si="6"/>
        <v>44.159220970982858</v>
      </c>
      <c r="I35" s="12"/>
      <c r="J35" s="1">
        <v>155</v>
      </c>
      <c r="K35" s="21">
        <f t="shared" si="7"/>
        <v>158.45976912118769</v>
      </c>
      <c r="L35" s="21">
        <f t="shared" si="8"/>
        <v>301.45303851791141</v>
      </c>
      <c r="M35" s="21">
        <f t="shared" si="9"/>
        <v>-209.92458446297766</v>
      </c>
      <c r="N35" s="21">
        <f t="shared" si="10"/>
        <v>331.21267741146369</v>
      </c>
      <c r="O35" s="21">
        <f t="shared" si="11"/>
        <v>146.8614053220121</v>
      </c>
      <c r="P35" s="21">
        <f t="shared" si="12"/>
        <v>0.28168690170860911</v>
      </c>
      <c r="Q35" s="22">
        <f t="shared" si="13"/>
        <v>728.06230590959717</v>
      </c>
      <c r="R35" s="12"/>
      <c r="S35" s="1">
        <v>155</v>
      </c>
      <c r="T35" s="21">
        <f t="shared" si="14"/>
        <v>-0.1313527594686788</v>
      </c>
      <c r="U35" s="21">
        <f t="shared" si="15"/>
        <v>222.60676983705167</v>
      </c>
      <c r="V35" s="21">
        <f t="shared" si="16"/>
        <v>-154.44700795498667</v>
      </c>
      <c r="W35" s="21">
        <f t="shared" si="17"/>
        <v>36.103266735042062</v>
      </c>
      <c r="X35" s="21">
        <f t="shared" si="18"/>
        <v>26.615966087642001</v>
      </c>
      <c r="Y35" s="25">
        <f t="shared" si="19"/>
        <v>130.74764194528038</v>
      </c>
    </row>
    <row r="36" spans="1:25" x14ac:dyDescent="0.25">
      <c r="A36" s="15">
        <v>160</v>
      </c>
      <c r="B36" s="21">
        <f t="shared" si="0"/>
        <v>51.092551325077004</v>
      </c>
      <c r="C36" s="21">
        <f t="shared" si="1"/>
        <v>401.75819993445549</v>
      </c>
      <c r="D36" s="21">
        <f t="shared" si="2"/>
        <v>-101.61559588819497</v>
      </c>
      <c r="E36" s="21">
        <f t="shared" si="3"/>
        <v>-212.36463593810655</v>
      </c>
      <c r="F36" s="21">
        <f t="shared" si="4"/>
        <v>-78.891103973883858</v>
      </c>
      <c r="G36" s="21">
        <f t="shared" si="5"/>
        <v>-0.27920652300256987</v>
      </c>
      <c r="H36" s="22">
        <f t="shared" si="6"/>
        <v>59.70020893634458</v>
      </c>
      <c r="I36" s="12"/>
      <c r="J36" s="1">
        <v>160</v>
      </c>
      <c r="K36" s="21">
        <f t="shared" si="7"/>
        <v>141.43709513652431</v>
      </c>
      <c r="L36" s="21">
        <f t="shared" si="8"/>
        <v>256.66731411474348</v>
      </c>
      <c r="M36" s="21">
        <f t="shared" si="9"/>
        <v>-200.39941204570675</v>
      </c>
      <c r="N36" s="21">
        <f t="shared" si="10"/>
        <v>356.06325795498657</v>
      </c>
      <c r="O36" s="21">
        <f t="shared" si="11"/>
        <v>160.47912023711709</v>
      </c>
      <c r="P36" s="21">
        <f t="shared" si="12"/>
        <v>0.30717821203165507</v>
      </c>
      <c r="Q36" s="22">
        <f t="shared" si="13"/>
        <v>714.24737539766465</v>
      </c>
      <c r="R36" s="12"/>
      <c r="S36" s="1">
        <v>160</v>
      </c>
      <c r="T36" s="21">
        <f t="shared" si="14"/>
        <v>-0.11180372579463473</v>
      </c>
      <c r="U36" s="21">
        <f t="shared" si="15"/>
        <v>186.78925846783577</v>
      </c>
      <c r="V36" s="21">
        <f t="shared" si="16"/>
        <v>-129.59642741146376</v>
      </c>
      <c r="W36" s="21">
        <f t="shared" si="17"/>
        <v>30.571254857250487</v>
      </c>
      <c r="X36" s="21">
        <f t="shared" si="18"/>
        <v>22.54669924222236</v>
      </c>
      <c r="Y36" s="25">
        <f t="shared" si="19"/>
        <v>110.19898143005022</v>
      </c>
    </row>
    <row r="37" spans="1:25" x14ac:dyDescent="0.25">
      <c r="A37" s="15">
        <v>165</v>
      </c>
      <c r="B37" s="21">
        <f t="shared" si="0"/>
        <v>73.214306459758603</v>
      </c>
      <c r="C37" s="21">
        <f t="shared" si="1"/>
        <v>530.29077345419785</v>
      </c>
      <c r="D37" s="21">
        <f t="shared" si="2"/>
        <v>-195.70068608622523</v>
      </c>
      <c r="E37" s="21">
        <f t="shared" si="3"/>
        <v>-240.08159218416213</v>
      </c>
      <c r="F37" s="21">
        <f t="shared" si="4"/>
        <v>-91.444301211357242</v>
      </c>
      <c r="G37" s="21">
        <f t="shared" si="5"/>
        <v>-0.30325198364362932</v>
      </c>
      <c r="H37" s="22">
        <f t="shared" si="6"/>
        <v>75.975248448568237</v>
      </c>
      <c r="I37" s="12"/>
      <c r="J37" s="1">
        <v>165</v>
      </c>
      <c r="K37" s="21">
        <f t="shared" si="7"/>
        <v>121.9191905949493</v>
      </c>
      <c r="L37" s="21">
        <f t="shared" si="8"/>
        <v>209.92819647120078</v>
      </c>
      <c r="M37" s="21">
        <f t="shared" si="9"/>
        <v>-181.61568257953942</v>
      </c>
      <c r="N37" s="21">
        <f t="shared" si="10"/>
        <v>376.22104431575423</v>
      </c>
      <c r="O37" s="21">
        <f t="shared" si="11"/>
        <v>171.69163772660721</v>
      </c>
      <c r="P37" s="21">
        <f t="shared" si="12"/>
        <v>0.32818561844531319</v>
      </c>
      <c r="Q37" s="22">
        <f t="shared" si="13"/>
        <v>698.14438652897206</v>
      </c>
      <c r="R37" s="12"/>
      <c r="S37" s="1">
        <v>165</v>
      </c>
      <c r="T37" s="21">
        <f t="shared" si="14"/>
        <v>-8.7937071429930333E-2</v>
      </c>
      <c r="U37" s="21">
        <f t="shared" si="15"/>
        <v>145.29625000000016</v>
      </c>
      <c r="V37" s="21">
        <f t="shared" si="16"/>
        <v>-100.80812500000009</v>
      </c>
      <c r="W37" s="21">
        <f t="shared" si="17"/>
        <v>23.894039490749897</v>
      </c>
      <c r="X37" s="21">
        <f t="shared" si="18"/>
        <v>17.663662816023855</v>
      </c>
      <c r="Y37" s="25">
        <f t="shared" si="19"/>
        <v>85.957890235343896</v>
      </c>
    </row>
    <row r="38" spans="1:25" x14ac:dyDescent="0.25">
      <c r="A38" s="15">
        <v>170</v>
      </c>
      <c r="B38" s="21">
        <f t="shared" si="0"/>
        <v>96.992685856749276</v>
      </c>
      <c r="C38" s="21">
        <f t="shared" si="1"/>
        <v>663.2169678903964</v>
      </c>
      <c r="D38" s="21">
        <f t="shared" si="2"/>
        <v>-305.6192613228024</v>
      </c>
      <c r="E38" s="21">
        <f t="shared" si="3"/>
        <v>-260.50379073884943</v>
      </c>
      <c r="F38" s="21">
        <f t="shared" si="4"/>
        <v>-100.79203383271927</v>
      </c>
      <c r="G38" s="21">
        <f t="shared" si="5"/>
        <v>-0.3211375925024314</v>
      </c>
      <c r="H38" s="22">
        <f t="shared" si="6"/>
        <v>92.973430260272153</v>
      </c>
      <c r="I38" s="12"/>
      <c r="J38" s="1">
        <v>170</v>
      </c>
      <c r="K38" s="21">
        <f t="shared" si="7"/>
        <v>100.01498994028279</v>
      </c>
      <c r="L38" s="21">
        <f t="shared" si="8"/>
        <v>161.59139849440129</v>
      </c>
      <c r="M38" s="21">
        <f t="shared" si="9"/>
        <v>-153.01359349108199</v>
      </c>
      <c r="N38" s="21">
        <f t="shared" si="10"/>
        <v>391.07355235552683</v>
      </c>
      <c r="O38" s="21">
        <f t="shared" si="11"/>
        <v>180.04549638545322</v>
      </c>
      <c r="P38" s="21">
        <f t="shared" si="12"/>
        <v>0.34384807965749781</v>
      </c>
      <c r="Q38" s="22">
        <f t="shared" si="13"/>
        <v>679.71184368458216</v>
      </c>
      <c r="R38" s="12"/>
      <c r="S38" s="1">
        <v>170</v>
      </c>
      <c r="T38" s="21">
        <f t="shared" si="14"/>
        <v>-6.0629693708410315E-2</v>
      </c>
      <c r="U38" s="21">
        <f t="shared" si="15"/>
        <v>99.388488499364357</v>
      </c>
      <c r="V38" s="21">
        <f t="shared" si="16"/>
        <v>-68.956818721783819</v>
      </c>
      <c r="W38" s="21">
        <f t="shared" si="17"/>
        <v>16.307779004771131</v>
      </c>
      <c r="X38" s="21">
        <f t="shared" si="18"/>
        <v>12.142704275229219</v>
      </c>
      <c r="Y38" s="25">
        <f t="shared" si="19"/>
        <v>58.821523363872487</v>
      </c>
    </row>
    <row r="39" spans="1:25" x14ac:dyDescent="0.25">
      <c r="A39" s="15">
        <v>175</v>
      </c>
      <c r="B39" s="21">
        <f t="shared" si="0"/>
        <v>122.27523084857826</v>
      </c>
      <c r="C39" s="21">
        <f t="shared" si="1"/>
        <v>799.52513464035974</v>
      </c>
      <c r="D39" s="21">
        <f t="shared" si="2"/>
        <v>-431.24675113174777</v>
      </c>
      <c r="E39" s="21">
        <f t="shared" si="3"/>
        <v>-273.01071343321547</v>
      </c>
      <c r="F39" s="21">
        <f t="shared" si="4"/>
        <v>-106.55684843589412</v>
      </c>
      <c r="G39" s="21">
        <f t="shared" si="5"/>
        <v>-0.33216034495149405</v>
      </c>
      <c r="H39" s="22">
        <f t="shared" si="6"/>
        <v>110.65389214312918</v>
      </c>
      <c r="I39" s="12"/>
      <c r="J39" s="1">
        <v>175</v>
      </c>
      <c r="K39" s="21">
        <f t="shared" si="7"/>
        <v>75.862688208106306</v>
      </c>
      <c r="L39" s="21">
        <f t="shared" si="8"/>
        <v>112.02479240350554</v>
      </c>
      <c r="M39" s="21">
        <f t="shared" si="9"/>
        <v>-114.29302303087648</v>
      </c>
      <c r="N39" s="21">
        <f t="shared" si="10"/>
        <v>400.16949613324755</v>
      </c>
      <c r="O39" s="21">
        <f t="shared" si="11"/>
        <v>185.19937084393291</v>
      </c>
      <c r="P39" s="21">
        <f t="shared" si="12"/>
        <v>0.3535156348521965</v>
      </c>
      <c r="Q39" s="22">
        <f t="shared" si="13"/>
        <v>658.96332455791583</v>
      </c>
      <c r="R39" s="12"/>
      <c r="S39" s="1">
        <v>175</v>
      </c>
      <c r="T39" s="21">
        <f t="shared" si="14"/>
        <v>-3.0928610428737242E-2</v>
      </c>
      <c r="U39" s="21">
        <f t="shared" si="15"/>
        <v>50.460858068677474</v>
      </c>
      <c r="V39" s="21">
        <f t="shared" si="16"/>
        <v>-35.010294400540246</v>
      </c>
      <c r="W39" s="21">
        <f t="shared" si="17"/>
        <v>8.0907980712226557</v>
      </c>
      <c r="X39" s="21">
        <f t="shared" si="18"/>
        <v>6.1830606029321844</v>
      </c>
      <c r="Y39" s="25">
        <f t="shared" si="19"/>
        <v>29.693493731863331</v>
      </c>
    </row>
    <row r="40" spans="1:25" ht="14.4" thickBot="1" x14ac:dyDescent="0.3">
      <c r="A40" s="16">
        <v>180</v>
      </c>
      <c r="B40" s="23">
        <f t="shared" si="0"/>
        <v>148.88671874999994</v>
      </c>
      <c r="C40" s="23">
        <f t="shared" si="1"/>
        <v>938.1778862499998</v>
      </c>
      <c r="D40" s="23">
        <f t="shared" si="2"/>
        <v>-572.06308156249986</v>
      </c>
      <c r="E40" s="21">
        <f t="shared" si="3"/>
        <v>-277.22234374999999</v>
      </c>
      <c r="F40" s="23">
        <f t="shared" si="4"/>
        <v>-108.50485937500002</v>
      </c>
      <c r="G40" s="23">
        <f>$H$2*$C$2^2*IF(AND(A40&gt;=0, A40&lt;=45),
0.2346-0.3536*COS(RADIANS(A40)),
IF(AND(A40&gt;45, A40&lt;=180),
-0.3487+0.5*SIN(RADIANS(A40))^2+0.2357*COS(RADIANS(A40))^3,
""))</f>
        <v>-0.33588390000000001</v>
      </c>
      <c r="H40" s="27">
        <f t="shared" si="6"/>
        <v>128.93843641249993</v>
      </c>
      <c r="I40" s="17"/>
      <c r="J40" s="18">
        <v>180</v>
      </c>
      <c r="K40" s="23">
        <f t="shared" si="7"/>
        <v>49.628906250000036</v>
      </c>
      <c r="L40" s="23">
        <f t="shared" si="8"/>
        <v>61.605610000000077</v>
      </c>
      <c r="M40" s="23">
        <f t="shared" si="9"/>
        <v>-65.431547500000079</v>
      </c>
      <c r="N40" s="23">
        <f t="shared" si="10"/>
        <v>403.23249999999996</v>
      </c>
      <c r="O40" s="23">
        <f t="shared" si="11"/>
        <v>186.94128750000002</v>
      </c>
      <c r="P40" s="23">
        <f t="shared" si="12"/>
        <v>0.35678389999999999</v>
      </c>
      <c r="Q40" s="29">
        <f t="shared" si="13"/>
        <v>635.97675624999999</v>
      </c>
      <c r="R40" s="17"/>
      <c r="S40" s="18">
        <v>180</v>
      </c>
      <c r="T40" s="23">
        <f t="shared" si="14"/>
        <v>-4.371132438212715E-17</v>
      </c>
      <c r="U40" s="23">
        <f t="shared" si="15"/>
        <v>7.1203790476606637E-14</v>
      </c>
      <c r="V40" s="23">
        <f t="shared" si="16"/>
        <v>-4.9401967434394009E-14</v>
      </c>
      <c r="W40" s="23">
        <f t="shared" si="17"/>
        <v>-0.44911603589431809</v>
      </c>
      <c r="X40" s="23">
        <f t="shared" si="18"/>
        <v>1.3155182820875178E-14</v>
      </c>
      <c r="Y40" s="26">
        <f t="shared" si="19"/>
        <v>-0.44911603589428317</v>
      </c>
    </row>
    <row r="42" spans="1:25" x14ac:dyDescent="0.25">
      <c r="H42" s="30">
        <f>COS(RADIANS(A40))</f>
        <v>-1</v>
      </c>
    </row>
    <row r="43" spans="1:25" x14ac:dyDescent="0.25">
      <c r="H43">
        <f>TAN(RADIANS(40))</f>
        <v>0.83909963117727993</v>
      </c>
    </row>
  </sheetData>
  <phoneticPr fontId="1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F0524F-721C-4F0F-8345-9065A18D452E}">
  <dimension ref="A1:Y43"/>
  <sheetViews>
    <sheetView zoomScale="70" zoomScaleNormal="70" workbookViewId="0">
      <selection activeCell="E37" sqref="E37"/>
    </sheetView>
  </sheetViews>
  <sheetFormatPr defaultRowHeight="13.8" x14ac:dyDescent="0.25"/>
  <sheetData>
    <row r="1" spans="1:25" x14ac:dyDescent="0.25">
      <c r="A1" s="5" t="s">
        <v>0</v>
      </c>
      <c r="B1" s="6" t="s">
        <v>3</v>
      </c>
      <c r="C1" s="6" t="s">
        <v>4</v>
      </c>
      <c r="D1" s="6" t="s">
        <v>5</v>
      </c>
      <c r="E1" s="6" t="s">
        <v>6</v>
      </c>
      <c r="F1" s="6" t="s">
        <v>7</v>
      </c>
      <c r="G1" s="6" t="s">
        <v>8</v>
      </c>
      <c r="H1" s="6" t="s">
        <v>9</v>
      </c>
      <c r="I1" s="7"/>
      <c r="J1" s="8" t="s">
        <v>10</v>
      </c>
      <c r="K1" s="7"/>
      <c r="L1" s="7"/>
      <c r="M1" s="7"/>
      <c r="N1" s="7"/>
      <c r="O1" s="7"/>
      <c r="P1" s="7"/>
      <c r="Q1" s="7"/>
      <c r="R1" s="7"/>
      <c r="S1" s="9" t="s">
        <v>13</v>
      </c>
      <c r="T1" s="7"/>
      <c r="U1" s="7"/>
      <c r="V1" s="7"/>
      <c r="W1" s="7"/>
      <c r="X1" s="7"/>
      <c r="Y1" s="10"/>
    </row>
    <row r="2" spans="1:25" x14ac:dyDescent="0.25">
      <c r="A2" s="11"/>
      <c r="B2" s="2">
        <v>13.125</v>
      </c>
      <c r="C2" s="2">
        <v>2.75</v>
      </c>
      <c r="D2" s="2">
        <v>132.93</v>
      </c>
      <c r="E2" s="2">
        <v>146.05500000000001</v>
      </c>
      <c r="F2" s="2">
        <v>88.42</v>
      </c>
      <c r="G2" s="2">
        <v>48.89</v>
      </c>
      <c r="H2" s="2">
        <v>9.9699999999999997E-2</v>
      </c>
      <c r="I2" s="12"/>
      <c r="J2" s="12"/>
      <c r="K2" s="12"/>
      <c r="L2" s="12"/>
      <c r="M2" s="12"/>
      <c r="N2" s="12"/>
      <c r="O2" s="12"/>
      <c r="P2" s="12"/>
      <c r="Q2" s="12"/>
      <c r="R2" s="12"/>
      <c r="S2" s="12"/>
      <c r="T2" s="24"/>
      <c r="U2" s="12"/>
      <c r="V2" s="12"/>
      <c r="W2" s="12"/>
      <c r="X2" s="12"/>
      <c r="Y2" s="13"/>
    </row>
    <row r="3" spans="1:25" ht="15.6" x14ac:dyDescent="0.3">
      <c r="A3" s="14" t="s">
        <v>1</v>
      </c>
      <c r="B3" s="4">
        <v>1</v>
      </c>
      <c r="C3" s="4">
        <v>2</v>
      </c>
      <c r="D3" s="4">
        <v>3</v>
      </c>
      <c r="E3" s="4">
        <v>4</v>
      </c>
      <c r="F3" s="4">
        <v>5</v>
      </c>
      <c r="G3" s="4">
        <v>6</v>
      </c>
      <c r="H3" s="19" t="s">
        <v>2</v>
      </c>
      <c r="I3" s="12"/>
      <c r="J3" s="3" t="s">
        <v>1</v>
      </c>
      <c r="K3" s="4">
        <v>1</v>
      </c>
      <c r="L3" s="4">
        <v>2</v>
      </c>
      <c r="M3" s="4">
        <v>3</v>
      </c>
      <c r="N3" s="4">
        <v>4</v>
      </c>
      <c r="O3" s="4">
        <v>5</v>
      </c>
      <c r="P3" s="4">
        <v>6</v>
      </c>
      <c r="Q3" s="19" t="s">
        <v>11</v>
      </c>
      <c r="R3" s="12"/>
      <c r="S3" s="3" t="s">
        <v>1</v>
      </c>
      <c r="T3" s="4">
        <v>1</v>
      </c>
      <c r="U3" s="4">
        <v>2</v>
      </c>
      <c r="V3" s="4">
        <v>3</v>
      </c>
      <c r="W3" s="4">
        <v>4</v>
      </c>
      <c r="X3" s="4">
        <v>5</v>
      </c>
      <c r="Y3" s="20" t="s">
        <v>12</v>
      </c>
    </row>
    <row r="4" spans="1:25" x14ac:dyDescent="0.25">
      <c r="A4" s="15">
        <v>0</v>
      </c>
      <c r="B4" s="21">
        <f>$B$2*$C$2^2*(1-0.5*COS(RADIANS(A4))-RADIANS(A4)*SIN(RADIANS(A4)))</f>
        <v>49.62890625</v>
      </c>
      <c r="C4" s="21">
        <f>$D$2*$C$2^2*IF(AND(A4&gt;=0, A4&lt;=90),
0.193+0.106*COS(RADIANS(A4))-0.5*SIN(RADIANS(A4))^2,
IF(AND(A4&gt;90, A4&lt;=180),
0.693+0.106*COS(RADIANS(A4))-SIN(RADIANS(A4)),
""))</f>
        <v>300.57965437500002</v>
      </c>
      <c r="D4" s="21">
        <f>$E$2*$C$2^2*IF(AND(A4&gt;=0, A4&lt;=90),
0.057-0.106*COS(RADIANS(A4)),
IF(AND(A4&gt;90, A4&lt;=180),
-0.443+SIN(RADIANS(A4))-0.106*COS(RADIANS(A4))-0.5*SIN(RADIANS(A4))^2,
""))</f>
        <v>-54.122505937500001</v>
      </c>
      <c r="E4" s="21">
        <f>$F$2*$C$2^2*(0.25-0.5*COS(RADIANS(A4))^2)</f>
        <v>-167.1690625</v>
      </c>
      <c r="F4" s="21">
        <f>$G$2*$C$2^2*(0.25*SIN(RADIANS(A4))^2+0.083*COS(RADIANS(A4))^3-0.063*COS(RADIANS(A4))-0.125)</f>
        <v>-38.821715625000003</v>
      </c>
      <c r="G4" s="21">
        <f>$H$2*$C$2^2*IF(AND(A4&gt;=0, A4&lt;=45),
0.2346-0.3536*COS(RADIANS(A4)),
IF(AND(A4&gt;45, A4&lt;=180),
-0.3487+0.5*SIN(RADIANS(A4))^2+0.2357*COS(RADIANS(A4))^3,
""))</f>
        <v>-8.9723768750000016E-2</v>
      </c>
      <c r="H4" s="22">
        <f>SUM(B4:G4)</f>
        <v>90.005552793749999</v>
      </c>
      <c r="I4" s="12"/>
      <c r="J4" s="1">
        <v>0</v>
      </c>
      <c r="K4" s="21">
        <f>$B$2*$C$2^2*(RADIANS(J4)*SIN(RADIANS(J4))-0.5*COS(RADIANS(J4)))</f>
        <v>-49.62890625</v>
      </c>
      <c r="L4" s="21">
        <f>$D$2*$C$2*IF(AND(J4&gt;=0, J4&lt;=90),
SIN(RADIANS(J4))^2-0.106*COS(RADIANS(J4)),
IF(AND(J4&gt;90, J4&lt;=180),
SIN(RADIANS(J4))-0.106*COS(RADIANS(J4)),
""))</f>
        <v>-38.749094999999997</v>
      </c>
      <c r="M4" s="21">
        <f>IF(AND(J4&gt;=0, J4&lt;=90),
0.106*$E$2*$C$2*COS(RADIANS(J4)),
IF(AND(J4&gt;90, J4&lt;=180),
$E$2*$C$2*(SIN(RADIANS(J4))^2-SIN(RADIANS(J4))+0.106*COS(RADIANS(J4))),
""))</f>
        <v>42.575032499999999</v>
      </c>
      <c r="N4" s="21">
        <f>$F$2*$C$2*COS(RADIANS(J4))^2</f>
        <v>243.155</v>
      </c>
      <c r="O4" s="21">
        <f>$G$2*$C$2*COS(RADIANS(J4))*(0.063+0.5*COS(RADIANS(J4))-0.25*COS(RADIANS(J4))^2)</f>
        <v>42.082067499999987</v>
      </c>
      <c r="P4" s="21">
        <f>IF(AND(J4&gt;=0, J4&lt;=45),
0.3536*$H$2*$C$2*COS(RADIANS(J4)),
IF(AND(J4&gt;45, J4&lt;=180),
$H$2*$C$2*(-0.7071*COS(RADIANS(J4))+COS(RADIANS(J4))^2+0.7071*SIN(RADIANS(J4))^2*COS(RADIANS(J4))),
""))</f>
        <v>9.6948279999999998E-2</v>
      </c>
      <c r="Q4" s="22">
        <f>SUM(K4:O4)</f>
        <v>239.43409875</v>
      </c>
      <c r="R4" s="12"/>
      <c r="S4" s="1">
        <v>0</v>
      </c>
      <c r="T4" s="21">
        <f>IF(AND(J4&gt;=0, J4&lt;=45),
0.3536*SIN(RADIANS(S4))*$H$2,
IF(AND(J4&gt;45, J4&lt;=180),
(SIN(RADIANS(S4))*COS(RADIANS(S4))-0.7071*COS(RADIANS(S4))^2*SIN(RADIANS(S4)))*$H$2*$C$2,
""))</f>
        <v>0</v>
      </c>
      <c r="U4" s="21">
        <f>-$D$2*$C$2*SIN(RADIANS(S4))*COS(RADIANS(S4))</f>
        <v>0</v>
      </c>
      <c r="V4" s="21">
        <f>$C$2*$F$2*SIN(RADIANS(S4))*COS(RADIANS(S4))</f>
        <v>0</v>
      </c>
      <c r="W4" s="21">
        <f>$C$2*(SIN(RADIANS(RADIANS(S4)))+8*SIN(RADIANS(S4))*COS(RADIANS(S4))-4*SIN(RADIANS(S4))*COS(RADIANS(S4))^2)*(($G$2-$F$2)/16)</f>
        <v>0</v>
      </c>
      <c r="X4" s="21">
        <f>IF(AND(S4&gt;=0, S4&lt;=90),
(-RADIANS(S4)*COS(RADIANS(S4))-SIN(RADIANS(S4))/6)*$B$2*$C$2,
IF(AND(S4&gt;90, S4&lt;=180),
((PI()-RADIANS(S4))*COS(RADIANS(S4))-PI()*SIN(RADIANS(S4))*COS(RADIANS(S4))-SIN(RADIANS(S4))/6)*$B$2*$C$2,
""))</f>
        <v>0</v>
      </c>
      <c r="Y4" s="25">
        <f>SUM(T4:X4)</f>
        <v>0</v>
      </c>
    </row>
    <row r="5" spans="1:25" x14ac:dyDescent="0.25">
      <c r="A5" s="15">
        <v>5</v>
      </c>
      <c r="B5" s="21">
        <f t="shared" ref="B5:B40" si="0">$B$2*$C$2^2*(1-0.5*COS(RADIANS(A5))-RADIANS(A5)*SIN(RADIANS(A5)))</f>
        <v>49.062826795093017</v>
      </c>
      <c r="C5" s="21">
        <f t="shared" ref="C5:C40" si="1">$D$2*$C$2^2*IF(AND(A5&gt;=0, A5&lt;=90),
0.193+0.106*COS(RADIANS(A5))-0.5*SIN(RADIANS(A5))^2,
IF(AND(A5&gt;90, A5&lt;=180),
0.693+0.106*COS(RADIANS(A5))-SIN(RADIANS(A5)),
""))</f>
        <v>296.35603397893192</v>
      </c>
      <c r="D5" s="21">
        <f t="shared" ref="D5:D40" si="2">$E$2*$C$2^2*IF(AND(A5&gt;=0, A5&lt;=90),
0.057-0.106*COS(RADIANS(A5)),
IF(AND(A5&gt;90, A5&lt;=180),
-0.443+SIN(RADIANS(A5))-0.106*COS(RADIANS(A5))-0.5*SIN(RADIANS(A5))^2,
""))</f>
        <v>-53.676976093355321</v>
      </c>
      <c r="E5" s="21">
        <f t="shared" ref="E5:E40" si="3">$F$2*$C$2^2*(0.25-0.5*COS(RADIANS(A5))^2)</f>
        <v>-164.62938881378238</v>
      </c>
      <c r="F5" s="21">
        <f t="shared" ref="F5:F40" si="4">$G$2*$C$2^2*(0.25*SIN(RADIANS(A5))^2+0.083*COS(RADIANS(A5))^3-0.063*COS(RADIANS(A5))-0.125)</f>
        <v>-38.379944560773431</v>
      </c>
      <c r="G5" s="21">
        <f t="shared" ref="G5:G39" si="5">$H$2*$C$2^2*IF(AND(A5&gt;=0, A5&lt;=45),
0.2346-0.3536*COS(RADIANS(A5)),
IF(AND(A5&gt;45, A5&lt;=180),
-0.3487+0.5*SIN(RADIANS(A5))^2+0.2357*COS(RADIANS(A5))^3,
""))</f>
        <v>-8.8709245694063535E-2</v>
      </c>
      <c r="H5" s="22">
        <f t="shared" ref="H5:H40" si="6">SUM(B5:G5)</f>
        <v>88.643842060419743</v>
      </c>
      <c r="I5" s="12"/>
      <c r="J5" s="1">
        <v>5</v>
      </c>
      <c r="K5" s="21">
        <f t="shared" ref="K5:K40" si="7">$B$2*$C$2^2*(RADIANS(J5)*SIN(RADIANS(J5))-0.5*COS(RADIANS(J5)))</f>
        <v>-48.685120851777604</v>
      </c>
      <c r="L5" s="21">
        <f t="shared" ref="L5:L40" si="8">$D$2*$C$2*IF(AND(J5&gt;=0, J5&lt;=90),
SIN(RADIANS(J5))^2-0.106*COS(RADIANS(J5)),
IF(AND(J5&gt;90, J5&lt;=180),
SIN(RADIANS(J5))-0.106*COS(RADIANS(J5)),
""))</f>
        <v>-35.824823080733488</v>
      </c>
      <c r="M5" s="21">
        <f t="shared" ref="M5:M40" si="9">IF(AND(J5&gt;=0, J5&lt;=90),
0.106*$E$2*$C$2*COS(RADIANS(J5)),
IF(AND(J5&gt;90, J5&lt;=180),
$E$2*$C$2*(SIN(RADIANS(J5))^2-SIN(RADIANS(J5))+0.106*COS(RADIANS(J5))),
""))</f>
        <v>42.413021647583754</v>
      </c>
      <c r="N5" s="21">
        <f t="shared" ref="N5:N40" si="10">$F$2*$C$2*COS(RADIANS(J5))^2</f>
        <v>241.30796459184174</v>
      </c>
      <c r="O5" s="21">
        <f t="shared" ref="O5:O40" si="11">$G$2*$C$2*COS(RADIANS(J5))*(0.063+0.5*COS(RADIANS(J5))-0.25*COS(RADIANS(J5))^2)</f>
        <v>41.921447669526849</v>
      </c>
      <c r="P5" s="21">
        <f t="shared" ref="P5:P40" si="12">IF(AND(J5&gt;=0, J5&lt;=45),
0.3536*$H$2*$C$2*COS(RADIANS(J5)),
IF(AND(J5&gt;45, J5&lt;=180),
$H$2*$C$2*(-0.7071*COS(RADIANS(J5))+COS(RADIANS(J5))^2+0.7071*SIN(RADIANS(J5))^2*COS(RADIANS(J5))),
""))</f>
        <v>9.657936252511401E-2</v>
      </c>
      <c r="Q5" s="22">
        <f t="shared" ref="Q5:Q40" si="13">SUM(K5:O5)</f>
        <v>241.13248997644126</v>
      </c>
      <c r="R5" s="12"/>
      <c r="S5" s="1">
        <v>5</v>
      </c>
      <c r="T5" s="21">
        <f t="shared" ref="T5:T40" si="14">IF(AND(J5&gt;=0, J5&lt;=45),
0.3536*SIN(RADIANS(S5))*$H$2,
IF(AND(J5&gt;45, J5&lt;=180),
(SIN(RADIANS(S5))*COS(RADIANS(S5))-0.7071*COS(RADIANS(S5))^2*SIN(RADIANS(S5)))*$H$2*$C$2,
""))</f>
        <v>3.0725815823665213E-3</v>
      </c>
      <c r="U5" s="21">
        <f t="shared" ref="U5:U40" si="15">-$D$2*$C$2*SIN(RADIANS(S5))*COS(RADIANS(S5))</f>
        <v>-31.739196853739443</v>
      </c>
      <c r="V5" s="21">
        <f t="shared" ref="V5:V40" si="16">$C$2*$F$2*SIN(RADIANS(S5))*COS(RADIANS(S5))</f>
        <v>21.111711320301222</v>
      </c>
      <c r="W5" s="21">
        <f t="shared" ref="W5:W40" si="17">$C$2*(SIN(RADIANS(RADIANS(S5)))+8*SIN(RADIANS(S5))*COS(RADIANS(S5))-4*SIN(RADIANS(S5))*COS(RADIANS(S5))^2)*(($G$2-$F$2)/16)</f>
        <v>-2.3789346107175131</v>
      </c>
      <c r="X5" s="21">
        <f t="shared" ref="X5:X40" si="18">IF(AND(S5&gt;=0, S5&lt;=90),
(-RADIANS(S5)*COS(RADIANS(S5))-SIN(RADIANS(S5))/6)*$B$2*$C$2,
IF(AND(S5&gt;90, S5&lt;=180),
((PI()-RADIANS(S5))*COS(RADIANS(S5))-PI()*SIN(RADIANS(S5))*COS(RADIANS(S5))-SIN(RADIANS(S5))/6)*$B$2*$C$2,
""))</f>
        <v>-3.6620843088517976</v>
      </c>
      <c r="Y5" s="25">
        <f t="shared" ref="Y5:Y40" si="19">SUM(T5:X5)</f>
        <v>-16.665431871425167</v>
      </c>
    </row>
    <row r="6" spans="1:25" x14ac:dyDescent="0.25">
      <c r="A6" s="15">
        <v>10</v>
      </c>
      <c r="B6" s="21">
        <f t="shared" si="0"/>
        <v>47.374642128438865</v>
      </c>
      <c r="C6" s="21">
        <f t="shared" si="1"/>
        <v>283.80427070584261</v>
      </c>
      <c r="D6" s="21">
        <f t="shared" si="2"/>
        <v>-52.343777312053511</v>
      </c>
      <c r="E6" s="21">
        <f t="shared" si="3"/>
        <v>-157.0875344549483</v>
      </c>
      <c r="F6" s="21">
        <f t="shared" si="4"/>
        <v>-37.058158326904994</v>
      </c>
      <c r="G6" s="21">
        <f t="shared" si="5"/>
        <v>-8.5673397659295575E-2</v>
      </c>
      <c r="H6" s="22">
        <f t="shared" si="6"/>
        <v>84.603769342715395</v>
      </c>
      <c r="I6" s="12"/>
      <c r="J6" s="1">
        <v>10</v>
      </c>
      <c r="K6" s="21">
        <f t="shared" si="7"/>
        <v>-45.866692925470922</v>
      </c>
      <c r="L6" s="21">
        <f t="shared" si="8"/>
        <v>-27.137501789678939</v>
      </c>
      <c r="M6" s="21">
        <f t="shared" si="9"/>
        <v>41.928222090746729</v>
      </c>
      <c r="N6" s="21">
        <f t="shared" si="10"/>
        <v>235.82297960359875</v>
      </c>
      <c r="O6" s="21">
        <f t="shared" si="11"/>
        <v>41.435106427119528</v>
      </c>
      <c r="P6" s="21">
        <f t="shared" si="12"/>
        <v>9.5475417785198385E-2</v>
      </c>
      <c r="Q6" s="22">
        <f t="shared" si="13"/>
        <v>246.18211340631515</v>
      </c>
      <c r="R6" s="12"/>
      <c r="S6" s="1">
        <v>10</v>
      </c>
      <c r="T6" s="21">
        <f t="shared" si="14"/>
        <v>6.1217789636157484E-3</v>
      </c>
      <c r="U6" s="21">
        <f t="shared" si="15"/>
        <v>-62.514014271886566</v>
      </c>
      <c r="V6" s="21">
        <f t="shared" si="16"/>
        <v>41.581953975176482</v>
      </c>
      <c r="W6" s="21">
        <f t="shared" si="17"/>
        <v>-4.7388219448791693</v>
      </c>
      <c r="X6" s="21">
        <f t="shared" si="18"/>
        <v>-7.2484458020778808</v>
      </c>
      <c r="Y6" s="25">
        <f t="shared" si="19"/>
        <v>-32.913206264703518</v>
      </c>
    </row>
    <row r="7" spans="1:25" x14ac:dyDescent="0.25">
      <c r="A7" s="15">
        <v>15</v>
      </c>
      <c r="B7" s="21">
        <f t="shared" si="0"/>
        <v>44.594393102864657</v>
      </c>
      <c r="C7" s="21">
        <f t="shared" si="1"/>
        <v>263.2781098524805</v>
      </c>
      <c r="D7" s="21">
        <f t="shared" si="2"/>
        <v>-50.133056041327706</v>
      </c>
      <c r="E7" s="21">
        <f t="shared" si="3"/>
        <v>-144.77265485182858</v>
      </c>
      <c r="F7" s="21">
        <f t="shared" si="4"/>
        <v>-34.867503578371171</v>
      </c>
      <c r="G7" s="21">
        <f t="shared" si="5"/>
        <v>-8.06393292823359E-2</v>
      </c>
      <c r="H7" s="22">
        <f t="shared" si="6"/>
        <v>78.018649154535353</v>
      </c>
      <c r="I7" s="12"/>
      <c r="J7" s="1">
        <v>15</v>
      </c>
      <c r="K7" s="21">
        <f t="shared" si="7"/>
        <v>-41.212265157572567</v>
      </c>
      <c r="L7" s="21">
        <f t="shared" si="8"/>
        <v>-12.941042377793577</v>
      </c>
      <c r="M7" s="21">
        <f t="shared" si="9"/>
        <v>41.124323446846439</v>
      </c>
      <c r="N7" s="21">
        <f t="shared" si="10"/>
        <v>226.86670352860261</v>
      </c>
      <c r="O7" s="21">
        <f t="shared" si="11"/>
        <v>40.610460523618492</v>
      </c>
      <c r="P7" s="21">
        <f t="shared" si="12"/>
        <v>9.3644847466303957E-2</v>
      </c>
      <c r="Q7" s="22">
        <f t="shared" si="13"/>
        <v>254.44817996370139</v>
      </c>
      <c r="R7" s="12"/>
      <c r="S7" s="1">
        <v>15</v>
      </c>
      <c r="T7" s="21">
        <f t="shared" si="14"/>
        <v>9.1243859105206576E-3</v>
      </c>
      <c r="U7" s="21">
        <f t="shared" si="15"/>
        <v>-91.389374999999987</v>
      </c>
      <c r="V7" s="21">
        <f t="shared" si="16"/>
        <v>60.78875</v>
      </c>
      <c r="W7" s="21">
        <f t="shared" si="17"/>
        <v>-7.0567705926685589</v>
      </c>
      <c r="X7" s="21">
        <f t="shared" si="18"/>
        <v>-10.684302144102814</v>
      </c>
      <c r="Y7" s="25">
        <f t="shared" si="19"/>
        <v>-48.332573350860834</v>
      </c>
    </row>
    <row r="8" spans="1:25" x14ac:dyDescent="0.25">
      <c r="A8" s="15">
        <v>20</v>
      </c>
      <c r="B8" s="21">
        <f t="shared" si="0"/>
        <v>40.771748249733896</v>
      </c>
      <c r="C8" s="21">
        <f t="shared" si="1"/>
        <v>235.35540603437116</v>
      </c>
      <c r="D8" s="21">
        <f t="shared" si="2"/>
        <v>-47.061637204918121</v>
      </c>
      <c r="E8" s="21">
        <f t="shared" si="3"/>
        <v>-128.05893138953414</v>
      </c>
      <c r="F8" s="21">
        <f t="shared" si="4"/>
        <v>-31.828380962137889</v>
      </c>
      <c r="G8" s="21">
        <f t="shared" si="5"/>
        <v>-7.36453528631867E-2</v>
      </c>
      <c r="H8" s="22">
        <f t="shared" si="6"/>
        <v>69.104559374651743</v>
      </c>
      <c r="I8" s="12"/>
      <c r="J8" s="1">
        <v>20</v>
      </c>
      <c r="K8" s="21">
        <f t="shared" si="7"/>
        <v>-34.785769711335199</v>
      </c>
      <c r="L8" s="21">
        <f t="shared" si="8"/>
        <v>6.3498656086349499</v>
      </c>
      <c r="M8" s="21">
        <f t="shared" si="9"/>
        <v>40.007443869970224</v>
      </c>
      <c r="N8" s="21">
        <f t="shared" si="10"/>
        <v>214.71126828329756</v>
      </c>
      <c r="O8" s="21">
        <f t="shared" si="11"/>
        <v>39.429334899237077</v>
      </c>
      <c r="P8" s="21">
        <f t="shared" si="12"/>
        <v>9.110158331388607E-2</v>
      </c>
      <c r="Q8" s="22">
        <f t="shared" si="13"/>
        <v>265.71214294980462</v>
      </c>
      <c r="R8" s="12"/>
      <c r="S8" s="1">
        <v>20</v>
      </c>
      <c r="T8" s="21">
        <f t="shared" si="14"/>
        <v>1.2057550771191659E-2</v>
      </c>
      <c r="U8" s="21">
        <f t="shared" si="15"/>
        <v>-117.48791581399355</v>
      </c>
      <c r="V8" s="21">
        <f t="shared" si="16"/>
        <v>78.148510616665234</v>
      </c>
      <c r="W8" s="21">
        <f t="shared" si="17"/>
        <v>-9.3026253046122456</v>
      </c>
      <c r="X8" s="21">
        <f t="shared" si="18"/>
        <v>-13.896742030172813</v>
      </c>
      <c r="Y8" s="25">
        <f t="shared" si="19"/>
        <v>-62.526714981342195</v>
      </c>
    </row>
    <row r="9" spans="1:25" x14ac:dyDescent="0.25">
      <c r="A9" s="15">
        <v>25</v>
      </c>
      <c r="B9" s="21">
        <f t="shared" si="0"/>
        <v>35.975408799529134</v>
      </c>
      <c r="C9" s="21">
        <f t="shared" si="1"/>
        <v>200.82091410182915</v>
      </c>
      <c r="D9" s="21">
        <f t="shared" si="2"/>
        <v>-43.152896154743232</v>
      </c>
      <c r="E9" s="21">
        <f t="shared" si="3"/>
        <v>-107.45420209791469</v>
      </c>
      <c r="F9" s="21">
        <f t="shared" si="4"/>
        <v>-27.972963850731194</v>
      </c>
      <c r="G9" s="21">
        <f t="shared" si="5"/>
        <v>-6.4744696785476161E-2</v>
      </c>
      <c r="H9" s="22">
        <f t="shared" si="6"/>
        <v>58.151516101183681</v>
      </c>
      <c r="I9" s="12"/>
      <c r="J9" s="1">
        <v>25</v>
      </c>
      <c r="K9" s="21">
        <f t="shared" si="7"/>
        <v>-26.675724692502865</v>
      </c>
      <c r="L9" s="21">
        <f t="shared" si="8"/>
        <v>30.172227646883538</v>
      </c>
      <c r="M9" s="21">
        <f t="shared" si="9"/>
        <v>38.586083488088448</v>
      </c>
      <c r="N9" s="21">
        <f t="shared" si="10"/>
        <v>199.72601061666523</v>
      </c>
      <c r="O9" s="21">
        <f t="shared" si="11"/>
        <v>37.871896823828976</v>
      </c>
      <c r="P9" s="21">
        <f t="shared" si="12"/>
        <v>8.7864981103809511E-2</v>
      </c>
      <c r="Q9" s="22">
        <f t="shared" si="13"/>
        <v>279.68049388296333</v>
      </c>
      <c r="R9" s="12"/>
      <c r="S9" s="1">
        <v>25</v>
      </c>
      <c r="T9" s="21">
        <f t="shared" si="14"/>
        <v>1.4898950389945678E-2</v>
      </c>
      <c r="U9" s="21">
        <f t="shared" si="15"/>
        <v>-140.0166457577329</v>
      </c>
      <c r="V9" s="21">
        <f t="shared" si="16"/>
        <v>93.133768283297556</v>
      </c>
      <c r="W9" s="21">
        <f t="shared" si="17"/>
        <v>-11.436362231506289</v>
      </c>
      <c r="X9" s="21">
        <f t="shared" si="18"/>
        <v>-16.81563597523105</v>
      </c>
      <c r="Y9" s="25">
        <f t="shared" si="19"/>
        <v>-75.119976730782739</v>
      </c>
    </row>
    <row r="10" spans="1:25" x14ac:dyDescent="0.25">
      <c r="A10" s="15">
        <v>30</v>
      </c>
      <c r="B10" s="21">
        <f t="shared" si="0"/>
        <v>30.292284378680936</v>
      </c>
      <c r="C10" s="21">
        <f t="shared" si="1"/>
        <v>160.64292927005562</v>
      </c>
      <c r="D10" s="21">
        <f t="shared" si="2"/>
        <v>-38.436580770357274</v>
      </c>
      <c r="E10" s="21">
        <f t="shared" si="3"/>
        <v>-83.58453125000004</v>
      </c>
      <c r="F10" s="21">
        <f t="shared" si="4"/>
        <v>-23.348311147855327</v>
      </c>
      <c r="G10" s="21">
        <f t="shared" si="5"/>
        <v>-5.4005100416318771E-2</v>
      </c>
      <c r="H10" s="22">
        <f t="shared" si="6"/>
        <v>45.511785380107597</v>
      </c>
      <c r="I10" s="12"/>
      <c r="J10" s="1">
        <v>30</v>
      </c>
      <c r="K10" s="21">
        <f t="shared" si="7"/>
        <v>-16.99425902775355</v>
      </c>
      <c r="L10" s="21">
        <f t="shared" si="8"/>
        <v>57.831674356343406</v>
      </c>
      <c r="M10" s="21">
        <f t="shared" si="9"/>
        <v>36.871059711948099</v>
      </c>
      <c r="N10" s="21">
        <f t="shared" si="10"/>
        <v>182.36625000000004</v>
      </c>
      <c r="O10" s="21">
        <f t="shared" si="11"/>
        <v>35.921661165824119</v>
      </c>
      <c r="P10" s="21">
        <f t="shared" si="12"/>
        <v>8.3959673333206822E-2</v>
      </c>
      <c r="Q10" s="22">
        <f t="shared" si="13"/>
        <v>295.9963862063621</v>
      </c>
      <c r="R10" s="12"/>
      <c r="S10" s="1">
        <v>30</v>
      </c>
      <c r="T10" s="21">
        <f t="shared" si="14"/>
        <v>1.7626959999999997E-2</v>
      </c>
      <c r="U10" s="21">
        <f t="shared" si="15"/>
        <v>-158.29104077196496</v>
      </c>
      <c r="V10" s="21">
        <f t="shared" si="16"/>
        <v>105.28920352860258</v>
      </c>
      <c r="W10" s="21">
        <f t="shared" si="17"/>
        <v>-13.406624277826621</v>
      </c>
      <c r="X10" s="21">
        <f t="shared" si="18"/>
        <v>-19.374517700707202</v>
      </c>
      <c r="Y10" s="25">
        <f t="shared" si="19"/>
        <v>-85.765352261896197</v>
      </c>
    </row>
    <row r="11" spans="1:25" x14ac:dyDescent="0.25">
      <c r="A11" s="15">
        <v>35</v>
      </c>
      <c r="B11" s="21">
        <f t="shared" si="0"/>
        <v>23.826447950269106</v>
      </c>
      <c r="C11" s="21">
        <f t="shared" si="1"/>
        <v>115.94448255373956</v>
      </c>
      <c r="D11" s="21">
        <f t="shared" si="2"/>
        <v>-32.948585059624477</v>
      </c>
      <c r="E11" s="21">
        <f t="shared" si="3"/>
        <v>-57.17518671586766</v>
      </c>
      <c r="F11" s="21">
        <f t="shared" si="4"/>
        <v>-18.019700908911297</v>
      </c>
      <c r="G11" s="21">
        <f t="shared" si="5"/>
        <v>-4.1508298568829358E-2</v>
      </c>
      <c r="H11" s="22">
        <f t="shared" si="6"/>
        <v>31.585949521036412</v>
      </c>
      <c r="I11" s="12"/>
      <c r="J11" s="1">
        <v>35</v>
      </c>
      <c r="K11" s="21">
        <f t="shared" si="7"/>
        <v>-5.8758754712975545</v>
      </c>
      <c r="L11" s="21">
        <f t="shared" si="8"/>
        <v>88.523335344515047</v>
      </c>
      <c r="M11" s="21">
        <f t="shared" si="9"/>
        <v>34.875424908045261</v>
      </c>
      <c r="N11" s="21">
        <f t="shared" si="10"/>
        <v>163.15945397517649</v>
      </c>
      <c r="O11" s="21">
        <f t="shared" si="11"/>
        <v>33.571110065765033</v>
      </c>
      <c r="P11" s="21">
        <f t="shared" si="12"/>
        <v>7.9415381752301575E-2</v>
      </c>
      <c r="Q11" s="22">
        <f t="shared" si="13"/>
        <v>314.25344882220423</v>
      </c>
      <c r="R11" s="12"/>
      <c r="S11" s="1">
        <v>35</v>
      </c>
      <c r="T11" s="21">
        <f t="shared" si="14"/>
        <v>2.0220817801004869E-2</v>
      </c>
      <c r="U11" s="21">
        <f t="shared" si="15"/>
        <v>-171.75584261147236</v>
      </c>
      <c r="V11" s="21">
        <f t="shared" si="16"/>
        <v>114.24547960359877</v>
      </c>
      <c r="W11" s="21">
        <f t="shared" si="17"/>
        <v>-15.150629691186287</v>
      </c>
      <c r="X11" s="21">
        <f t="shared" si="18"/>
        <v>-21.51142676544017</v>
      </c>
      <c r="Y11" s="25">
        <f t="shared" si="19"/>
        <v>-94.152198646699048</v>
      </c>
    </row>
    <row r="12" spans="1:25" x14ac:dyDescent="0.25">
      <c r="A12" s="15">
        <v>40</v>
      </c>
      <c r="B12" s="21">
        <f t="shared" si="0"/>
        <v>16.697880871742925</v>
      </c>
      <c r="C12" s="21">
        <f t="shared" si="1"/>
        <v>67.969962025650062</v>
      </c>
      <c r="D12" s="21">
        <f t="shared" si="2"/>
        <v>-26.730675983645948</v>
      </c>
      <c r="E12" s="21">
        <f t="shared" si="3"/>
        <v>-29.028603065414174</v>
      </c>
      <c r="F12" s="21">
        <f t="shared" si="4"/>
        <v>-12.073758959787282</v>
      </c>
      <c r="G12" s="21">
        <f t="shared" si="5"/>
        <v>-2.7349399450842568E-2</v>
      </c>
      <c r="H12" s="22">
        <f t="shared" si="6"/>
        <v>16.807455489094735</v>
      </c>
      <c r="I12" s="12"/>
      <c r="J12" s="1">
        <v>40</v>
      </c>
      <c r="K12" s="21">
        <f t="shared" si="7"/>
        <v>6.5240359264866443</v>
      </c>
      <c r="L12" s="21">
        <f t="shared" si="8"/>
        <v>121.35602424562116</v>
      </c>
      <c r="M12" s="21">
        <f t="shared" si="9"/>
        <v>32.614367062234891</v>
      </c>
      <c r="N12" s="21">
        <f t="shared" si="10"/>
        <v>142.68921132030121</v>
      </c>
      <c r="O12" s="21">
        <f t="shared" si="11"/>
        <v>30.827401563571925</v>
      </c>
      <c r="P12" s="21">
        <f t="shared" si="12"/>
        <v>7.4266691163942758E-2</v>
      </c>
      <c r="Q12" s="22">
        <f t="shared" si="13"/>
        <v>334.01104011821587</v>
      </c>
      <c r="R12" s="12"/>
      <c r="S12" s="1">
        <v>40</v>
      </c>
      <c r="T12" s="21">
        <f t="shared" si="14"/>
        <v>2.266078296888048E-2</v>
      </c>
      <c r="U12" s="21">
        <f t="shared" si="15"/>
        <v>-180.0019300858801</v>
      </c>
      <c r="V12" s="21">
        <f t="shared" si="16"/>
        <v>119.7304645918417</v>
      </c>
      <c r="W12" s="21">
        <f t="shared" si="17"/>
        <v>-16.595574983210568</v>
      </c>
      <c r="X12" s="21">
        <f t="shared" si="18"/>
        <v>-23.169703464686386</v>
      </c>
      <c r="Y12" s="25">
        <f t="shared" si="19"/>
        <v>-100.01408315896649</v>
      </c>
    </row>
    <row r="13" spans="1:25" x14ac:dyDescent="0.25">
      <c r="A13" s="15">
        <v>45</v>
      </c>
      <c r="B13" s="21">
        <f t="shared" si="0"/>
        <v>9.0410211433570478</v>
      </c>
      <c r="C13" s="21">
        <f t="shared" si="1"/>
        <v>18.048168433189865</v>
      </c>
      <c r="D13" s="21">
        <f t="shared" si="2"/>
        <v>-19.830175584966035</v>
      </c>
      <c r="E13" s="21">
        <f t="shared" si="3"/>
        <v>-3.7118988438500366E-14</v>
      </c>
      <c r="F13" s="21">
        <f t="shared" si="4"/>
        <v>-5.6209391912215763</v>
      </c>
      <c r="G13" s="21">
        <f t="shared" si="5"/>
        <v>-1.1636160834023412E-2</v>
      </c>
      <c r="H13" s="22">
        <f t="shared" si="6"/>
        <v>1.6264386395252421</v>
      </c>
      <c r="I13" s="12"/>
      <c r="J13" s="1">
        <v>45</v>
      </c>
      <c r="K13" s="21">
        <f t="shared" si="7"/>
        <v>20.030919052150093</v>
      </c>
      <c r="L13" s="21">
        <f t="shared" si="8"/>
        <v>155.37900216065822</v>
      </c>
      <c r="M13" s="21">
        <f t="shared" si="9"/>
        <v>30.10509418998765</v>
      </c>
      <c r="N13" s="21">
        <f t="shared" si="10"/>
        <v>121.57750000000003</v>
      </c>
      <c r="O13" s="21">
        <f t="shared" si="11"/>
        <v>27.717613184258148</v>
      </c>
      <c r="P13" s="21">
        <f t="shared" si="12"/>
        <v>6.8552786212372138E-2</v>
      </c>
      <c r="Q13" s="22">
        <f t="shared" si="13"/>
        <v>354.81012858705412</v>
      </c>
      <c r="R13" s="12"/>
      <c r="S13" s="1">
        <v>45</v>
      </c>
      <c r="T13" s="21">
        <f t="shared" si="14"/>
        <v>2.4928285895408048E-2</v>
      </c>
      <c r="U13" s="21">
        <f t="shared" si="15"/>
        <v>-182.77874999999997</v>
      </c>
      <c r="V13" s="21">
        <f t="shared" si="16"/>
        <v>121.57749999999999</v>
      </c>
      <c r="W13" s="21">
        <f t="shared" si="17"/>
        <v>-17.661529463688627</v>
      </c>
      <c r="X13" s="21">
        <f t="shared" si="18"/>
        <v>-24.298727486719514</v>
      </c>
      <c r="Y13" s="25">
        <f t="shared" si="19"/>
        <v>-103.13657866451271</v>
      </c>
    </row>
    <row r="14" spans="1:25" x14ac:dyDescent="0.25">
      <c r="A14" s="15">
        <v>50</v>
      </c>
      <c r="B14" s="21">
        <f t="shared" si="0"/>
        <v>1.0031299952602217</v>
      </c>
      <c r="C14" s="21">
        <f t="shared" si="1"/>
        <v>-32.447078879333496</v>
      </c>
      <c r="D14" s="21">
        <f t="shared" si="2"/>
        <v>-12.299600838254749</v>
      </c>
      <c r="E14" s="21">
        <f t="shared" si="3"/>
        <v>29.028603065414174</v>
      </c>
      <c r="F14" s="21">
        <f t="shared" si="4"/>
        <v>1.2030680973621211</v>
      </c>
      <c r="G14" s="21">
        <f t="shared" si="5"/>
        <v>5.5118119419111516E-3</v>
      </c>
      <c r="H14" s="22">
        <f t="shared" si="6"/>
        <v>-13.506366747609821</v>
      </c>
      <c r="I14" s="12"/>
      <c r="J14" s="1">
        <v>50</v>
      </c>
      <c r="K14" s="21">
        <f t="shared" si="7"/>
        <v>34.452990465150073</v>
      </c>
      <c r="L14" s="21">
        <f t="shared" si="8"/>
        <v>189.61050870117282</v>
      </c>
      <c r="M14" s="21">
        <f t="shared" si="9"/>
        <v>27.366703373001727</v>
      </c>
      <c r="N14" s="21">
        <f t="shared" si="10"/>
        <v>100.46578867969878</v>
      </c>
      <c r="O14" s="21">
        <f t="shared" si="11"/>
        <v>24.292980762398404</v>
      </c>
      <c r="P14" s="21">
        <f t="shared" si="12"/>
        <v>6.1793894023145467E-2</v>
      </c>
      <c r="Q14" s="22">
        <f t="shared" si="13"/>
        <v>376.18897198142184</v>
      </c>
      <c r="R14" s="12"/>
      <c r="S14" s="1">
        <v>50</v>
      </c>
      <c r="T14" s="21">
        <f t="shared" si="14"/>
        <v>7.3643095202469505E-2</v>
      </c>
      <c r="U14" s="21">
        <f t="shared" si="15"/>
        <v>-180.00193008588013</v>
      </c>
      <c r="V14" s="21">
        <f t="shared" si="16"/>
        <v>119.73046459184174</v>
      </c>
      <c r="W14" s="21">
        <f t="shared" si="17"/>
        <v>-18.265692177228175</v>
      </c>
      <c r="X14" s="21">
        <f t="shared" si="18"/>
        <v>-24.854592365579364</v>
      </c>
      <c r="Y14" s="25">
        <f t="shared" si="19"/>
        <v>-103.31810694164346</v>
      </c>
    </row>
    <row r="15" spans="1:25" x14ac:dyDescent="0.25">
      <c r="A15" s="15">
        <v>55</v>
      </c>
      <c r="B15" s="21">
        <f t="shared" si="0"/>
        <v>-7.257506111068901</v>
      </c>
      <c r="C15" s="21">
        <f t="shared" si="1"/>
        <v>-82.137596238541633</v>
      </c>
      <c r="D15" s="21">
        <f t="shared" si="2"/>
        <v>-4.1962639644199173</v>
      </c>
      <c r="E15" s="21">
        <f t="shared" si="3"/>
        <v>57.175186715867639</v>
      </c>
      <c r="F15" s="21">
        <f t="shared" si="4"/>
        <v>8.2373671298325384</v>
      </c>
      <c r="G15" s="21">
        <f t="shared" si="5"/>
        <v>2.3585914079848405E-2</v>
      </c>
      <c r="H15" s="22">
        <f t="shared" si="6"/>
        <v>-28.155226554250426</v>
      </c>
      <c r="I15" s="12"/>
      <c r="J15" s="1">
        <v>55</v>
      </c>
      <c r="K15" s="21">
        <f t="shared" si="7"/>
        <v>49.583376237318582</v>
      </c>
      <c r="L15" s="21">
        <f t="shared" si="8"/>
        <v>223.0671964499584</v>
      </c>
      <c r="M15" s="21">
        <f t="shared" si="9"/>
        <v>24.420035418879969</v>
      </c>
      <c r="N15" s="21">
        <f t="shared" si="10"/>
        <v>79.99554602482354</v>
      </c>
      <c r="O15" s="21">
        <f t="shared" si="11"/>
        <v>20.631649446355254</v>
      </c>
      <c r="P15" s="21">
        <f t="shared" si="12"/>
        <v>5.3617537611971466E-2</v>
      </c>
      <c r="Q15" s="22">
        <f t="shared" si="13"/>
        <v>397.69780357733578</v>
      </c>
      <c r="R15" s="12"/>
      <c r="S15" s="1">
        <v>55</v>
      </c>
      <c r="T15" s="21">
        <f t="shared" si="14"/>
        <v>7.657377946695737E-2</v>
      </c>
      <c r="U15" s="21">
        <f t="shared" si="15"/>
        <v>-171.75584261147236</v>
      </c>
      <c r="V15" s="21">
        <f t="shared" si="16"/>
        <v>114.2454796035988</v>
      </c>
      <c r="W15" s="21">
        <f t="shared" si="17"/>
        <v>-18.327762237017343</v>
      </c>
      <c r="X15" s="21">
        <f t="shared" si="18"/>
        <v>-24.800708395978354</v>
      </c>
      <c r="Y15" s="25">
        <f t="shared" si="19"/>
        <v>-100.56225986140228</v>
      </c>
    </row>
    <row r="16" spans="1:25" x14ac:dyDescent="0.25">
      <c r="A16" s="15">
        <v>60</v>
      </c>
      <c r="B16" s="21">
        <f t="shared" si="0"/>
        <v>-15.573519228889589</v>
      </c>
      <c r="C16" s="21">
        <f t="shared" si="1"/>
        <v>-129.68152312499993</v>
      </c>
      <c r="D16" s="21">
        <f t="shared" si="2"/>
        <v>4.4181637499999891</v>
      </c>
      <c r="E16" s="21">
        <f t="shared" si="3"/>
        <v>83.584531249999955</v>
      </c>
      <c r="F16" s="21">
        <f t="shared" si="4"/>
        <v>15.297604609374989</v>
      </c>
      <c r="G16" s="21">
        <f t="shared" si="5"/>
        <v>4.204387945312496E-2</v>
      </c>
      <c r="H16" s="22">
        <f t="shared" si="6"/>
        <v>-41.912698865061451</v>
      </c>
      <c r="I16" s="12"/>
      <c r="J16" s="1">
        <v>60</v>
      </c>
      <c r="K16" s="21">
        <f t="shared" si="7"/>
        <v>65.20242547888958</v>
      </c>
      <c r="L16" s="21">
        <f t="shared" si="8"/>
        <v>254.79357749999994</v>
      </c>
      <c r="M16" s="21">
        <f t="shared" si="9"/>
        <v>21.287516250000003</v>
      </c>
      <c r="N16" s="21">
        <f t="shared" si="10"/>
        <v>60.788750000000029</v>
      </c>
      <c r="O16" s="21">
        <f t="shared" si="11"/>
        <v>16.839549375000008</v>
      </c>
      <c r="P16" s="21">
        <f t="shared" si="12"/>
        <v>4.4310107187500031E-2</v>
      </c>
      <c r="Q16" s="22">
        <f t="shared" si="13"/>
        <v>418.91181860388957</v>
      </c>
      <c r="R16" s="12"/>
      <c r="S16" s="1">
        <v>60</v>
      </c>
      <c r="T16" s="21">
        <f t="shared" si="14"/>
        <v>7.6747356937572911E-2</v>
      </c>
      <c r="U16" s="21">
        <f t="shared" si="15"/>
        <v>-158.29104077196499</v>
      </c>
      <c r="V16" s="21">
        <f t="shared" si="16"/>
        <v>105.28920352860261</v>
      </c>
      <c r="W16" s="21">
        <f t="shared" si="17"/>
        <v>-17.776069438695064</v>
      </c>
      <c r="X16" s="21">
        <f t="shared" si="18"/>
        <v>-24.108327376391866</v>
      </c>
      <c r="Y16" s="25">
        <f t="shared" si="19"/>
        <v>-94.80948670151173</v>
      </c>
    </row>
    <row r="17" spans="1:25" x14ac:dyDescent="0.25">
      <c r="A17" s="15">
        <v>65</v>
      </c>
      <c r="B17" s="21">
        <f t="shared" si="0"/>
        <v>-23.770529001764302</v>
      </c>
      <c r="C17" s="21">
        <f t="shared" si="1"/>
        <v>-173.81281564369672</v>
      </c>
      <c r="D17" s="21">
        <f t="shared" si="2"/>
        <v>13.478121308564598</v>
      </c>
      <c r="E17" s="21">
        <f t="shared" si="3"/>
        <v>107.45420209791469</v>
      </c>
      <c r="F17" s="21">
        <f t="shared" si="4"/>
        <v>22.17959543967708</v>
      </c>
      <c r="G17" s="21">
        <f t="shared" si="5"/>
        <v>6.0158705984136127E-2</v>
      </c>
      <c r="H17" s="22">
        <f t="shared" si="6"/>
        <v>-54.411267093320511</v>
      </c>
      <c r="I17" s="12"/>
      <c r="J17" s="1">
        <v>65</v>
      </c>
      <c r="K17" s="21">
        <f t="shared" si="7"/>
        <v>81.080177318830025</v>
      </c>
      <c r="L17" s="21">
        <f t="shared" si="8"/>
        <v>283.89059064106829</v>
      </c>
      <c r="M17" s="21">
        <f t="shared" si="9"/>
        <v>17.992986228703785</v>
      </c>
      <c r="N17" s="21">
        <f t="shared" si="10"/>
        <v>43.428989383334766</v>
      </c>
      <c r="O17" s="21">
        <f t="shared" si="11"/>
        <v>13.049136635992072</v>
      </c>
      <c r="P17" s="21">
        <f t="shared" si="12"/>
        <v>3.4335676466030467E-2</v>
      </c>
      <c r="Q17" s="22">
        <f t="shared" si="13"/>
        <v>439.44188020792893</v>
      </c>
      <c r="R17" s="12"/>
      <c r="S17" s="1">
        <v>65</v>
      </c>
      <c r="T17" s="21">
        <f t="shared" si="14"/>
        <v>7.3633095801779541E-2</v>
      </c>
      <c r="U17" s="21">
        <f t="shared" si="15"/>
        <v>-140.0166457577329</v>
      </c>
      <c r="V17" s="21">
        <f t="shared" si="16"/>
        <v>93.133768283297556</v>
      </c>
      <c r="W17" s="21">
        <f t="shared" si="17"/>
        <v>-16.55403156435516</v>
      </c>
      <c r="X17" s="21">
        <f t="shared" si="18"/>
        <v>-22.756983312431764</v>
      </c>
      <c r="Y17" s="25">
        <f t="shared" si="19"/>
        <v>-86.120259255420507</v>
      </c>
    </row>
    <row r="18" spans="1:25" x14ac:dyDescent="0.25">
      <c r="A18" s="15">
        <v>70</v>
      </c>
      <c r="B18" s="21">
        <f t="shared" si="0"/>
        <v>-31.669315268959785</v>
      </c>
      <c r="C18" s="21">
        <f t="shared" si="1"/>
        <v>-213.37835572137277</v>
      </c>
      <c r="D18" s="21">
        <f t="shared" si="2"/>
        <v>22.914656963701233</v>
      </c>
      <c r="E18" s="21">
        <f t="shared" si="3"/>
        <v>128.05893138953411</v>
      </c>
      <c r="F18" s="21">
        <f t="shared" si="4"/>
        <v>28.664850489006501</v>
      </c>
      <c r="G18" s="21">
        <f t="shared" si="5"/>
        <v>7.7087928700373065E-2</v>
      </c>
      <c r="H18" s="22">
        <f t="shared" si="6"/>
        <v>-65.332144219390329</v>
      </c>
      <c r="I18" s="12"/>
      <c r="J18" s="1">
        <v>70</v>
      </c>
      <c r="K18" s="21">
        <f t="shared" si="7"/>
        <v>96.978956511517424</v>
      </c>
      <c r="L18" s="21">
        <f t="shared" si="8"/>
        <v>309.54242473209291</v>
      </c>
      <c r="M18" s="21">
        <f t="shared" si="9"/>
        <v>14.561518717745008</v>
      </c>
      <c r="N18" s="21">
        <f t="shared" si="10"/>
        <v>28.443731716702466</v>
      </c>
      <c r="O18" s="21">
        <f t="shared" si="11"/>
        <v>9.4158920622847297</v>
      </c>
      <c r="P18" s="21">
        <f t="shared" si="12"/>
        <v>2.4315919079447568E-2</v>
      </c>
      <c r="Q18" s="22">
        <f t="shared" si="13"/>
        <v>458.94252374034255</v>
      </c>
      <c r="R18" s="12"/>
      <c r="S18" s="1">
        <v>70</v>
      </c>
      <c r="T18" s="21">
        <f t="shared" si="14"/>
        <v>6.6807438604068028E-2</v>
      </c>
      <c r="U18" s="21">
        <f t="shared" si="15"/>
        <v>-117.48791581399357</v>
      </c>
      <c r="V18" s="21">
        <f t="shared" si="16"/>
        <v>78.148510616665249</v>
      </c>
      <c r="W18" s="21">
        <f t="shared" si="17"/>
        <v>-14.626454310234738</v>
      </c>
      <c r="X18" s="21">
        <f t="shared" si="18"/>
        <v>-20.734844037598535</v>
      </c>
      <c r="Y18" s="25">
        <f t="shared" si="19"/>
        <v>-74.633896106557515</v>
      </c>
    </row>
    <row r="19" spans="1:25" x14ac:dyDescent="0.25">
      <c r="A19" s="15">
        <v>75</v>
      </c>
      <c r="B19" s="21">
        <f t="shared" si="0"/>
        <v>-39.088071231342013</v>
      </c>
      <c r="C19" s="21">
        <f t="shared" si="1"/>
        <v>-247.37155882861299</v>
      </c>
      <c r="D19" s="21">
        <f t="shared" si="2"/>
        <v>32.655952981138348</v>
      </c>
      <c r="E19" s="21">
        <f t="shared" si="3"/>
        <v>144.77265485182858</v>
      </c>
      <c r="F19" s="21">
        <f t="shared" si="4"/>
        <v>34.527884313297321</v>
      </c>
      <c r="G19" s="21">
        <f t="shared" si="5"/>
        <v>9.1904901213883075E-2</v>
      </c>
      <c r="H19" s="22">
        <f t="shared" si="6"/>
        <v>-74.411233012476856</v>
      </c>
      <c r="I19" s="12"/>
      <c r="J19" s="1">
        <v>75</v>
      </c>
      <c r="K19" s="21">
        <f t="shared" si="7"/>
        <v>112.65607148112697</v>
      </c>
      <c r="L19" s="21">
        <f t="shared" si="8"/>
        <v>331.04078700547814</v>
      </c>
      <c r="M19" s="21">
        <f t="shared" si="9"/>
        <v>11.019229256858786</v>
      </c>
      <c r="N19" s="21">
        <f t="shared" si="10"/>
        <v>16.288296471397405</v>
      </c>
      <c r="O19" s="21">
        <f t="shared" si="11"/>
        <v>6.1126356573771323</v>
      </c>
      <c r="P19" s="21">
        <f t="shared" si="12"/>
        <v>1.5005019037322652E-2</v>
      </c>
      <c r="Q19" s="22">
        <f t="shared" si="13"/>
        <v>477.11701987223847</v>
      </c>
      <c r="R19" s="12"/>
      <c r="S19" s="1">
        <v>75</v>
      </c>
      <c r="T19" s="21">
        <f t="shared" si="14"/>
        <v>5.5999493415826364E-2</v>
      </c>
      <c r="U19" s="21">
        <f t="shared" si="15"/>
        <v>-91.389374999999987</v>
      </c>
      <c r="V19" s="21">
        <f t="shared" si="16"/>
        <v>60.78875</v>
      </c>
      <c r="W19" s="21">
        <f t="shared" si="17"/>
        <v>-11.985173591954963</v>
      </c>
      <c r="X19" s="21">
        <f t="shared" si="18"/>
        <v>-18.038969584736339</v>
      </c>
      <c r="Y19" s="25">
        <f t="shared" si="19"/>
        <v>-60.568768683275465</v>
      </c>
    </row>
    <row r="20" spans="1:25" x14ac:dyDescent="0.25">
      <c r="A20" s="15">
        <v>80</v>
      </c>
      <c r="B20" s="21">
        <f t="shared" si="0"/>
        <v>-45.844713262520976</v>
      </c>
      <c r="C20" s="21">
        <f t="shared" si="1"/>
        <v>-274.96146995004432</v>
      </c>
      <c r="D20" s="21">
        <f t="shared" si="2"/>
        <v>42.627872216227836</v>
      </c>
      <c r="E20" s="21">
        <f t="shared" si="3"/>
        <v>157.0875344549483</v>
      </c>
      <c r="F20" s="21">
        <f t="shared" si="4"/>
        <v>39.545034977563553</v>
      </c>
      <c r="G20" s="21">
        <f t="shared" si="5"/>
        <v>0.10364023577527935</v>
      </c>
      <c r="H20" s="22">
        <f t="shared" si="6"/>
        <v>-81.442101328050356</v>
      </c>
      <c r="I20" s="12"/>
      <c r="J20" s="1">
        <v>80</v>
      </c>
      <c r="K20" s="21">
        <f t="shared" si="7"/>
        <v>127.86658750269009</v>
      </c>
      <c r="L20" s="21">
        <f t="shared" si="8"/>
        <v>347.80588287847957</v>
      </c>
      <c r="M20" s="21">
        <f t="shared" si="9"/>
        <v>7.3930768077353362</v>
      </c>
      <c r="N20" s="21">
        <f t="shared" si="10"/>
        <v>7.3320203964012292</v>
      </c>
      <c r="O20" s="21">
        <f t="shared" si="11"/>
        <v>3.3218813275457579</v>
      </c>
      <c r="P20" s="21">
        <f t="shared" si="12"/>
        <v>7.2522631847802095E-3</v>
      </c>
      <c r="Q20" s="22">
        <f t="shared" si="13"/>
        <v>493.71944891285199</v>
      </c>
      <c r="R20" s="12"/>
      <c r="S20" s="1">
        <v>80</v>
      </c>
      <c r="T20" s="21">
        <f t="shared" si="14"/>
        <v>4.1129628350926824E-2</v>
      </c>
      <c r="U20" s="21">
        <f t="shared" si="15"/>
        <v>-62.514014271886602</v>
      </c>
      <c r="V20" s="21">
        <f t="shared" si="16"/>
        <v>41.581953975176503</v>
      </c>
      <c r="W20" s="21">
        <f t="shared" si="17"/>
        <v>-8.6535600217779347</v>
      </c>
      <c r="X20" s="21">
        <f t="shared" si="18"/>
        <v>-14.675474060799825</v>
      </c>
      <c r="Y20" s="25">
        <f t="shared" si="19"/>
        <v>-44.219964750936924</v>
      </c>
    </row>
    <row r="21" spans="1:25" x14ac:dyDescent="0.25">
      <c r="A21" s="15">
        <v>85</v>
      </c>
      <c r="B21" s="21">
        <f t="shared" si="0"/>
        <v>-51.759222737615865</v>
      </c>
      <c r="C21" s="21">
        <f t="shared" si="1"/>
        <v>-295.51647506539263</v>
      </c>
      <c r="D21" s="21">
        <f t="shared" si="2"/>
        <v>52.754522342381257</v>
      </c>
      <c r="E21" s="21">
        <f t="shared" si="3"/>
        <v>164.62938881378236</v>
      </c>
      <c r="F21" s="21">
        <f t="shared" si="4"/>
        <v>43.504393601193442</v>
      </c>
      <c r="G21" s="21">
        <f t="shared" si="5"/>
        <v>0.11133135017606001</v>
      </c>
      <c r="H21" s="32">
        <f t="shared" si="6"/>
        <v>-86.276061695475349</v>
      </c>
      <c r="I21" s="12"/>
      <c r="J21" s="1">
        <v>85</v>
      </c>
      <c r="K21" s="21">
        <f t="shared" si="7"/>
        <v>142.36614686567057</v>
      </c>
      <c r="L21" s="21">
        <f t="shared" si="8"/>
        <v>359.40347393035557</v>
      </c>
      <c r="M21" s="21">
        <f t="shared" si="9"/>
        <v>3.7106585800431846</v>
      </c>
      <c r="N21" s="21">
        <f t="shared" si="10"/>
        <v>1.8470354081582732</v>
      </c>
      <c r="O21" s="21">
        <f t="shared" si="11"/>
        <v>1.2266132251024222</v>
      </c>
      <c r="P21" s="21">
        <f t="shared" si="12"/>
        <v>1.9543169102832444E-3</v>
      </c>
      <c r="Q21" s="28">
        <f t="shared" si="13"/>
        <v>508.55392800933004</v>
      </c>
      <c r="R21" s="12"/>
      <c r="S21" s="1">
        <v>85</v>
      </c>
      <c r="T21" s="21">
        <f t="shared" si="14"/>
        <v>2.2337944500708438E-2</v>
      </c>
      <c r="U21" s="21">
        <f t="shared" si="15"/>
        <v>-31.739196853739436</v>
      </c>
      <c r="V21" s="21">
        <f t="shared" si="16"/>
        <v>21.111711320301218</v>
      </c>
      <c r="W21" s="21">
        <f t="shared" si="17"/>
        <v>-4.689461003841715</v>
      </c>
      <c r="X21" s="21">
        <f t="shared" si="18"/>
        <v>-10.659588731289849</v>
      </c>
      <c r="Y21" s="25">
        <f t="shared" si="19"/>
        <v>-25.954197324069071</v>
      </c>
    </row>
    <row r="22" spans="1:25" x14ac:dyDescent="0.25">
      <c r="A22" s="15">
        <v>90</v>
      </c>
      <c r="B22" s="21">
        <f t="shared" si="0"/>
        <v>-56.655994780696567</v>
      </c>
      <c r="C22" s="21">
        <f t="shared" si="1"/>
        <v>-308.621919375</v>
      </c>
      <c r="D22" s="21">
        <f t="shared" si="2"/>
        <v>62.958833437500004</v>
      </c>
      <c r="E22" s="21">
        <f t="shared" si="3"/>
        <v>167.1690625</v>
      </c>
      <c r="F22" s="21">
        <f t="shared" si="4"/>
        <v>46.216328125000004</v>
      </c>
      <c r="G22" s="21">
        <f t="shared" si="5"/>
        <v>0.11407736312499998</v>
      </c>
      <c r="H22" s="22">
        <f t="shared" si="6"/>
        <v>-88.819612730071569</v>
      </c>
      <c r="I22" s="12"/>
      <c r="J22" s="1">
        <v>90</v>
      </c>
      <c r="K22" s="21">
        <f t="shared" si="7"/>
        <v>155.91380728069657</v>
      </c>
      <c r="L22" s="21">
        <f t="shared" si="8"/>
        <v>365.5575</v>
      </c>
      <c r="M22" s="21">
        <f t="shared" si="9"/>
        <v>2.608036764252964E-15</v>
      </c>
      <c r="N22" s="21">
        <f t="shared" si="10"/>
        <v>9.1243229059864362E-31</v>
      </c>
      <c r="O22" s="21">
        <f t="shared" si="11"/>
        <v>5.1886216270767929E-16</v>
      </c>
      <c r="P22" s="21">
        <f t="shared" si="12"/>
        <v>1.6897338960075853E-33</v>
      </c>
      <c r="Q22" s="22">
        <f t="shared" si="13"/>
        <v>521.47130728069658</v>
      </c>
      <c r="R22" s="12"/>
      <c r="S22" s="1">
        <v>90</v>
      </c>
      <c r="T22" s="21">
        <f t="shared" si="14"/>
        <v>1.6795253881228544E-17</v>
      </c>
      <c r="U22" s="21">
        <f t="shared" si="15"/>
        <v>-2.2393110315262892E-14</v>
      </c>
      <c r="V22" s="21">
        <f>$C$2*$F$2*SIN(RADIANS(S22))*COS(RADIANS(S22))</f>
        <v>1.4895048627665276E-14</v>
      </c>
      <c r="W22" s="21">
        <f t="shared" si="17"/>
        <v>-0.18624403202857551</v>
      </c>
      <c r="X22" s="21">
        <f t="shared" si="18"/>
        <v>-6.0156250000000027</v>
      </c>
      <c r="Y22" s="25">
        <f t="shared" si="19"/>
        <v>-6.2018690320285854</v>
      </c>
    </row>
    <row r="23" spans="1:25" x14ac:dyDescent="0.25">
      <c r="A23" s="15">
        <v>95</v>
      </c>
      <c r="B23" s="21">
        <f t="shared" si="0"/>
        <v>-60.366168607040393</v>
      </c>
      <c r="C23" s="21">
        <f>$D$2*$C$2^2*IF(AND(A23&gt;=0, A23&lt;=90),
0.193+0.106*COS(RADIANS(A23))-0.5*SIN(RADIANS(A23))^2,
IF(AND(A23&gt;90, A23&lt;=180),
0.693+0.106*COS(RADIANS(A23))-SIN(RADIANS(A23)),
""))</f>
        <v>-314.08383050879411</v>
      </c>
      <c r="D23" s="21">
        <f t="shared" si="2"/>
        <v>73.155147478061579</v>
      </c>
      <c r="E23" s="21">
        <f t="shared" si="3"/>
        <v>164.62938881378236</v>
      </c>
      <c r="F23" s="21">
        <f t="shared" si="4"/>
        <v>47.524002905318902</v>
      </c>
      <c r="G23" s="21">
        <f t="shared" si="5"/>
        <v>0.11109604138685793</v>
      </c>
      <c r="H23" s="33">
        <f t="shared" si="6"/>
        <v>-89.030363877284813</v>
      </c>
      <c r="I23" s="12"/>
      <c r="J23" s="1">
        <v>95</v>
      </c>
      <c r="K23" s="21">
        <f t="shared" si="7"/>
        <v>168.27486947898566</v>
      </c>
      <c r="L23" s="21">
        <f t="shared" si="8"/>
        <v>367.54364950319786</v>
      </c>
      <c r="M23" s="21">
        <f t="shared" si="9"/>
        <v>-5.233246808443071</v>
      </c>
      <c r="N23" s="21">
        <f t="shared" si="10"/>
        <v>1.8470354081582774</v>
      </c>
      <c r="O23" s="21">
        <f t="shared" si="11"/>
        <v>-0.20533341165684441</v>
      </c>
      <c r="P23" s="21">
        <f t="shared" si="12"/>
        <v>2.2110174075946122E-3</v>
      </c>
      <c r="Q23" s="22">
        <f t="shared" si="13"/>
        <v>532.22697417024187</v>
      </c>
      <c r="R23" s="12"/>
      <c r="S23" s="1">
        <v>95</v>
      </c>
      <c r="T23" s="21">
        <f t="shared" si="14"/>
        <v>-2.5272044611122198E-2</v>
      </c>
      <c r="U23" s="21">
        <f t="shared" si="15"/>
        <v>31.739196853739472</v>
      </c>
      <c r="V23" s="21">
        <f t="shared" si="16"/>
        <v>-21.111711320301239</v>
      </c>
      <c r="W23" s="21">
        <f t="shared" si="17"/>
        <v>4.7282800445185309</v>
      </c>
      <c r="X23" s="21">
        <f t="shared" si="18"/>
        <v>-0.81444381950587108</v>
      </c>
      <c r="Y23" s="25">
        <f t="shared" si="19"/>
        <v>14.51604971383977</v>
      </c>
    </row>
    <row r="24" spans="1:25" x14ac:dyDescent="0.25">
      <c r="A24" s="15">
        <v>100</v>
      </c>
      <c r="B24" s="21">
        <f t="shared" si="0"/>
        <v>-62.729914160841496</v>
      </c>
      <c r="C24" s="21">
        <f t="shared" si="1"/>
        <v>-311.85336161307083</v>
      </c>
      <c r="D24" s="21">
        <f t="shared" si="2"/>
        <v>83.162328221970185</v>
      </c>
      <c r="E24" s="21">
        <f t="shared" si="3"/>
        <v>157.08753445494833</v>
      </c>
      <c r="F24" s="21">
        <f t="shared" si="4"/>
        <v>47.313250020201906</v>
      </c>
      <c r="G24" s="21">
        <f t="shared" si="5"/>
        <v>0.10177917389268815</v>
      </c>
      <c r="H24" s="22">
        <f t="shared" si="6"/>
        <v>-86.91838390289918</v>
      </c>
      <c r="I24" s="12"/>
      <c r="J24" s="1">
        <v>100</v>
      </c>
      <c r="K24" s="21">
        <f t="shared" si="7"/>
        <v>179.22366492067235</v>
      </c>
      <c r="L24" s="21">
        <f t="shared" si="8"/>
        <v>366.73256990475301</v>
      </c>
      <c r="M24" s="21">
        <f t="shared" si="9"/>
        <v>-13.402358937561944</v>
      </c>
      <c r="N24" s="21">
        <f t="shared" si="10"/>
        <v>7.3320203964012194</v>
      </c>
      <c r="O24" s="21">
        <f t="shared" si="11"/>
        <v>0.73220685589753465</v>
      </c>
      <c r="P24" s="21">
        <f t="shared" si="12"/>
        <v>9.2825125112433633E-3</v>
      </c>
      <c r="Q24" s="22">
        <f t="shared" si="13"/>
        <v>540.61810314016213</v>
      </c>
      <c r="R24" s="12"/>
      <c r="S24" s="1">
        <v>100</v>
      </c>
      <c r="T24" s="21">
        <f t="shared" si="14"/>
        <v>-5.2643744445388399E-2</v>
      </c>
      <c r="U24" s="21">
        <f t="shared" si="15"/>
        <v>62.514014271886559</v>
      </c>
      <c r="V24" s="21">
        <f t="shared" si="16"/>
        <v>-41.581953975176482</v>
      </c>
      <c r="W24" s="21">
        <f t="shared" si="17"/>
        <v>9.8951402144955516</v>
      </c>
      <c r="X24" s="21">
        <f t="shared" si="18"/>
        <v>4.7156760165072802</v>
      </c>
      <c r="Y24" s="25">
        <f t="shared" si="19"/>
        <v>35.490232783267516</v>
      </c>
    </row>
    <row r="25" spans="1:25" x14ac:dyDescent="0.25">
      <c r="A25" s="15">
        <v>105</v>
      </c>
      <c r="B25" s="21">
        <f t="shared" si="0"/>
        <v>-63.598650023620785</v>
      </c>
      <c r="C25" s="21">
        <f t="shared" si="1"/>
        <v>-301.94748790292067</v>
      </c>
      <c r="D25" s="21">
        <f t="shared" si="2"/>
        <v>92.62050064493134</v>
      </c>
      <c r="E25" s="21">
        <f t="shared" si="3"/>
        <v>144.77265485182855</v>
      </c>
      <c r="F25" s="21">
        <f t="shared" si="4"/>
        <v>45.521144138477183</v>
      </c>
      <c r="G25" s="21">
        <f t="shared" si="5"/>
        <v>8.5742658274689854E-2</v>
      </c>
      <c r="H25" s="22">
        <f t="shared" si="6"/>
        <v>-82.546095633029708</v>
      </c>
      <c r="I25" s="12"/>
      <c r="J25" s="1">
        <v>105</v>
      </c>
      <c r="K25" s="21">
        <f>$B$2*$C$2^2*(RADIANS(J25)*SIN(RADIANS(J25))-0.5*COS(RADIANS(J25)))</f>
        <v>188.54627477383582</v>
      </c>
      <c r="L25" s="21">
        <f t="shared" si="8"/>
        <v>363.13043401015295</v>
      </c>
      <c r="M25" s="21">
        <f t="shared" si="9"/>
        <v>-24.238826812258651</v>
      </c>
      <c r="N25" s="21">
        <f t="shared" si="10"/>
        <v>16.28829647139742</v>
      </c>
      <c r="O25" s="21">
        <f t="shared" si="11"/>
        <v>2.8936391049687118</v>
      </c>
      <c r="P25" s="21">
        <f t="shared" si="12"/>
        <v>2.1727465880078893E-2</v>
      </c>
      <c r="Q25" s="22">
        <f t="shared" si="13"/>
        <v>546.61981754809619</v>
      </c>
      <c r="R25" s="12"/>
      <c r="S25" s="1">
        <v>105</v>
      </c>
      <c r="T25" s="21">
        <f t="shared" si="14"/>
        <v>-8.1088006584173658E-2</v>
      </c>
      <c r="U25" s="21">
        <f t="shared" si="15"/>
        <v>91.38937500000003</v>
      </c>
      <c r="V25" s="21">
        <f t="shared" si="16"/>
        <v>-60.788750000000022</v>
      </c>
      <c r="W25" s="21">
        <f t="shared" si="17"/>
        <v>15.12963583450696</v>
      </c>
      <c r="X25" s="21">
        <f t="shared" si="18"/>
        <v>10.308995375390319</v>
      </c>
      <c r="Y25" s="25">
        <f t="shared" si="19"/>
        <v>55.958168203313114</v>
      </c>
    </row>
    <row r="26" spans="1:25" x14ac:dyDescent="0.25">
      <c r="A26" s="15">
        <v>110</v>
      </c>
      <c r="B26" s="21">
        <f t="shared" si="0"/>
        <v>-62.837168091653801</v>
      </c>
      <c r="C26" s="21">
        <f t="shared" si="1"/>
        <v>-284.44159905860789</v>
      </c>
      <c r="D26" s="21">
        <f t="shared" si="2"/>
        <v>100.9944132686727</v>
      </c>
      <c r="E26" s="21">
        <f t="shared" si="3"/>
        <v>128.05893138953414</v>
      </c>
      <c r="F26" s="21">
        <f t="shared" si="4"/>
        <v>42.14267219403267</v>
      </c>
      <c r="G26" s="21">
        <f t="shared" si="5"/>
        <v>6.2867745938827338E-2</v>
      </c>
      <c r="H26" s="22">
        <f t="shared" si="6"/>
        <v>-76.019882552083331</v>
      </c>
      <c r="I26" s="12"/>
      <c r="J26" s="1">
        <v>110</v>
      </c>
      <c r="K26" s="21">
        <f t="shared" si="7"/>
        <v>196.04315184909618</v>
      </c>
      <c r="L26" s="21">
        <f t="shared" si="8"/>
        <v>356.76465624858469</v>
      </c>
      <c r="M26" s="21">
        <f t="shared" si="9"/>
        <v>-37.323255405035376</v>
      </c>
      <c r="N26" s="21">
        <f t="shared" si="10"/>
        <v>28.443731716702445</v>
      </c>
      <c r="O26" s="21">
        <f t="shared" si="11"/>
        <v>6.3114778045958699</v>
      </c>
      <c r="P26" s="21">
        <f t="shared" si="12"/>
        <v>3.9828845728406614E-2</v>
      </c>
      <c r="Q26" s="22">
        <f t="shared" si="13"/>
        <v>550.23976221394378</v>
      </c>
      <c r="R26" s="12"/>
      <c r="S26" s="1">
        <v>110</v>
      </c>
      <c r="T26" s="21">
        <f t="shared" si="14"/>
        <v>-0.1094288542817389</v>
      </c>
      <c r="U26" s="21">
        <f t="shared" si="15"/>
        <v>117.48791581399355</v>
      </c>
      <c r="V26" s="21">
        <f t="shared" si="16"/>
        <v>-78.148510616665234</v>
      </c>
      <c r="W26" s="21">
        <f t="shared" si="17"/>
        <v>20.22870885568226</v>
      </c>
      <c r="X26" s="21">
        <f t="shared" si="18"/>
        <v>15.708597234796626</v>
      </c>
      <c r="Y26" s="25">
        <f t="shared" si="19"/>
        <v>75.167282433525457</v>
      </c>
    </row>
    <row r="27" spans="1:25" x14ac:dyDescent="0.25">
      <c r="A27" s="15">
        <v>115</v>
      </c>
      <c r="B27" s="21">
        <f t="shared" si="0"/>
        <v>-60.325641288289404</v>
      </c>
      <c r="C27" s="21">
        <f t="shared" si="1"/>
        <v>-259.46892546458253</v>
      </c>
      <c r="D27" s="21">
        <f t="shared" si="2"/>
        <v>107.59158794430853</v>
      </c>
      <c r="E27" s="21">
        <f t="shared" si="3"/>
        <v>107.45420209791472</v>
      </c>
      <c r="F27" s="21">
        <f t="shared" si="4"/>
        <v>37.234970728237997</v>
      </c>
      <c r="G27" s="21">
        <f t="shared" si="5"/>
        <v>3.3330297983848442E-2</v>
      </c>
      <c r="H27" s="22">
        <f t="shared" si="6"/>
        <v>-67.480475684426821</v>
      </c>
      <c r="I27" s="12"/>
      <c r="J27" s="1">
        <v>115</v>
      </c>
      <c r="K27" s="21">
        <f t="shared" si="7"/>
        <v>201.53161797122365</v>
      </c>
      <c r="L27" s="21">
        <f t="shared" si="8"/>
        <v>347.68368403257546</v>
      </c>
      <c r="M27" s="21">
        <f t="shared" si="9"/>
        <v>-52.098793319152676</v>
      </c>
      <c r="N27" s="21">
        <f t="shared" si="10"/>
        <v>43.428989383334738</v>
      </c>
      <c r="O27" s="21">
        <f t="shared" si="11"/>
        <v>10.964019787342417</v>
      </c>
      <c r="P27" s="21">
        <f t="shared" si="12"/>
        <v>6.3603030648162542E-2</v>
      </c>
      <c r="Q27" s="22">
        <f t="shared" si="13"/>
        <v>551.50951785532368</v>
      </c>
      <c r="R27" s="12"/>
      <c r="S27" s="1">
        <v>115</v>
      </c>
      <c r="T27" s="21">
        <f t="shared" si="14"/>
        <v>-0.13639713939036621</v>
      </c>
      <c r="U27" s="21">
        <f t="shared" si="15"/>
        <v>140.01664575773287</v>
      </c>
      <c r="V27" s="21">
        <f t="shared" si="16"/>
        <v>-93.133768283297542</v>
      </c>
      <c r="W27" s="21">
        <f t="shared" si="17"/>
        <v>24.979914603167504</v>
      </c>
      <c r="X27" s="21">
        <f t="shared" si="18"/>
        <v>20.674618750441269</v>
      </c>
      <c r="Y27" s="25">
        <f t="shared" si="19"/>
        <v>92.401013688653734</v>
      </c>
    </row>
    <row r="28" spans="1:25" x14ac:dyDescent="0.25">
      <c r="A28" s="15">
        <v>120</v>
      </c>
      <c r="B28" s="21">
        <f t="shared" si="0"/>
        <v>-55.961491582779203</v>
      </c>
      <c r="C28" s="21">
        <f t="shared" si="1"/>
        <v>-227.21952424580738</v>
      </c>
      <c r="D28" s="21">
        <f t="shared" si="2"/>
        <v>111.58669420737992</v>
      </c>
      <c r="E28" s="21">
        <f t="shared" si="3"/>
        <v>83.584531250000069</v>
      </c>
      <c r="F28" s="21">
        <f t="shared" si="4"/>
        <v>30.918723515625004</v>
      </c>
      <c r="G28" s="21">
        <f t="shared" si="5"/>
        <v>-2.384465703124936E-3</v>
      </c>
      <c r="H28" s="22">
        <f t="shared" si="6"/>
        <v>-57.093451321284682</v>
      </c>
      <c r="I28" s="12"/>
      <c r="J28" s="1">
        <v>120</v>
      </c>
      <c r="K28" s="21">
        <f t="shared" si="7"/>
        <v>204.84821033277919</v>
      </c>
      <c r="L28" s="21">
        <f t="shared" si="8"/>
        <v>335.95662904392992</v>
      </c>
      <c r="M28" s="21">
        <f t="shared" si="9"/>
        <v>-67.889264711774487</v>
      </c>
      <c r="N28" s="21">
        <f t="shared" si="10"/>
        <v>60.788749999999943</v>
      </c>
      <c r="O28" s="21">
        <f t="shared" si="11"/>
        <v>16.772325624999979</v>
      </c>
      <c r="P28" s="21">
        <f t="shared" si="12"/>
        <v>9.2777392812499915E-2</v>
      </c>
      <c r="Q28" s="22">
        <f t="shared" si="13"/>
        <v>550.47665028993458</v>
      </c>
      <c r="R28" s="12"/>
      <c r="S28" s="1">
        <v>120</v>
      </c>
      <c r="T28" s="21">
        <f t="shared" si="14"/>
        <v>-0.16069515814502547</v>
      </c>
      <c r="U28" s="21">
        <f t="shared" si="15"/>
        <v>158.29104077196493</v>
      </c>
      <c r="V28" s="21">
        <f t="shared" si="16"/>
        <v>-105.28920352860256</v>
      </c>
      <c r="W28" s="21">
        <f t="shared" si="17"/>
        <v>29.171529000989224</v>
      </c>
      <c r="X28" s="21">
        <f t="shared" si="18"/>
        <v>24.991788225729721</v>
      </c>
      <c r="Y28" s="25">
        <f t="shared" si="19"/>
        <v>107.0044593119363</v>
      </c>
    </row>
    <row r="29" spans="1:25" x14ac:dyDescent="0.25">
      <c r="A29" s="15">
        <v>125</v>
      </c>
      <c r="B29" s="21">
        <f t="shared" si="0"/>
        <v>-49.661096822656063</v>
      </c>
      <c r="C29" s="21">
        <f t="shared" si="1"/>
        <v>-187.93883281827846</v>
      </c>
      <c r="D29" s="21">
        <f t="shared" si="2"/>
        <v>112.05138223021979</v>
      </c>
      <c r="E29" s="21">
        <f t="shared" si="3"/>
        <v>57.175186715867639</v>
      </c>
      <c r="F29" s="21">
        <f t="shared" si="4"/>
        <v>23.376463208764726</v>
      </c>
      <c r="G29" s="21">
        <f t="shared" si="5"/>
        <v>-4.3483425234915052E-2</v>
      </c>
      <c r="H29" s="22">
        <f t="shared" si="6"/>
        <v>-45.0403809113173</v>
      </c>
      <c r="I29" s="12"/>
      <c r="J29" s="1">
        <v>125</v>
      </c>
      <c r="K29" s="21">
        <f t="shared" si="7"/>
        <v>205.85085169640638</v>
      </c>
      <c r="L29" s="21">
        <f t="shared" si="8"/>
        <v>321.67274125210122</v>
      </c>
      <c r="M29" s="21">
        <f t="shared" si="9"/>
        <v>-83.921443901641908</v>
      </c>
      <c r="N29" s="21">
        <f t="shared" si="10"/>
        <v>79.99554602482354</v>
      </c>
      <c r="O29" s="21">
        <f t="shared" si="11"/>
        <v>23.600223943755832</v>
      </c>
      <c r="P29" s="21">
        <f t="shared" si="12"/>
        <v>0.12678408959171339</v>
      </c>
      <c r="Q29" s="22">
        <f t="shared" si="13"/>
        <v>547.19791901544511</v>
      </c>
      <c r="R29" s="12"/>
      <c r="S29" s="1">
        <v>125</v>
      </c>
      <c r="T29" s="21">
        <f t="shared" si="14"/>
        <v>-0.18106644483701906</v>
      </c>
      <c r="U29" s="21">
        <f t="shared" si="15"/>
        <v>171.75584261147236</v>
      </c>
      <c r="V29" s="21">
        <f t="shared" si="16"/>
        <v>-114.24547960359877</v>
      </c>
      <c r="W29" s="21">
        <f t="shared" si="17"/>
        <v>32.603238118107591</v>
      </c>
      <c r="X29" s="21">
        <f t="shared" si="18"/>
        <v>28.476038578678672</v>
      </c>
      <c r="Y29" s="25">
        <f t="shared" si="19"/>
        <v>118.40857325982282</v>
      </c>
    </row>
    <row r="30" spans="1:25" x14ac:dyDescent="0.25">
      <c r="A30" s="15">
        <v>130</v>
      </c>
      <c r="B30" s="21">
        <f t="shared" si="0"/>
        <v>-41.361316341061972</v>
      </c>
      <c r="C30" s="21">
        <f t="shared" si="1"/>
        <v>-141.92580096208926</v>
      </c>
      <c r="D30" s="21">
        <f t="shared" si="2"/>
        <v>107.9886317187067</v>
      </c>
      <c r="E30" s="21">
        <f t="shared" si="3"/>
        <v>29.028603065414174</v>
      </c>
      <c r="F30" s="21">
        <f t="shared" si="4"/>
        <v>14.847694217364175</v>
      </c>
      <c r="G30" s="21">
        <f t="shared" si="5"/>
        <v>-8.8883975663144058E-2</v>
      </c>
      <c r="H30" s="22">
        <f t="shared" si="6"/>
        <v>-31.51107227732933</v>
      </c>
      <c r="I30" s="12"/>
      <c r="J30" s="1">
        <v>130</v>
      </c>
      <c r="K30" s="21">
        <f t="shared" si="7"/>
        <v>204.42082088065166</v>
      </c>
      <c r="L30" s="21">
        <f t="shared" si="8"/>
        <v>304.94072966803242</v>
      </c>
      <c r="M30" s="21">
        <f t="shared" si="9"/>
        <v>-99.350782697220822</v>
      </c>
      <c r="N30" s="21">
        <f t="shared" si="10"/>
        <v>100.46578867969878</v>
      </c>
      <c r="O30" s="21">
        <f t="shared" si="11"/>
        <v>31.257487554164289</v>
      </c>
      <c r="P30" s="21">
        <f t="shared" si="12"/>
        <v>0.16477111686502394</v>
      </c>
      <c r="Q30" s="22">
        <f t="shared" si="13"/>
        <v>541.73404408532633</v>
      </c>
      <c r="R30" s="12"/>
      <c r="S30" s="1">
        <v>130</v>
      </c>
      <c r="T30" s="21">
        <f t="shared" si="14"/>
        <v>-0.19636657047965264</v>
      </c>
      <c r="U30" s="21">
        <f t="shared" si="15"/>
        <v>180.00193008588013</v>
      </c>
      <c r="V30" s="21">
        <f t="shared" si="16"/>
        <v>-119.73046459184174</v>
      </c>
      <c r="W30" s="21">
        <f t="shared" si="17"/>
        <v>35.096797551435607</v>
      </c>
      <c r="X30" s="21">
        <f t="shared" si="18"/>
        <v>30.979998984122911</v>
      </c>
      <c r="Y30" s="25">
        <f t="shared" si="19"/>
        <v>126.15189545911727</v>
      </c>
    </row>
    <row r="31" spans="1:25" x14ac:dyDescent="0.25">
      <c r="A31" s="15">
        <v>135</v>
      </c>
      <c r="B31" s="21">
        <f t="shared" si="0"/>
        <v>-31.020816960943147</v>
      </c>
      <c r="C31" s="21">
        <f t="shared" si="1"/>
        <v>-89.530615633093618</v>
      </c>
      <c r="D31" s="21">
        <f t="shared" si="2"/>
        <v>98.370526339362613</v>
      </c>
      <c r="E31" s="21">
        <f t="shared" si="3"/>
        <v>3.7118988438500366E-14</v>
      </c>
      <c r="F31" s="21">
        <f t="shared" si="4"/>
        <v>5.620939191221586</v>
      </c>
      <c r="G31" s="21">
        <f t="shared" si="5"/>
        <v>-0.13724911764876169</v>
      </c>
      <c r="H31" s="22">
        <f t="shared" si="6"/>
        <v>-16.697216181101293</v>
      </c>
      <c r="I31" s="12"/>
      <c r="J31" s="1">
        <v>135</v>
      </c>
      <c r="K31" s="21">
        <f t="shared" si="7"/>
        <v>200.46450176543598</v>
      </c>
      <c r="L31" s="21">
        <f t="shared" si="8"/>
        <v>285.8879350029431</v>
      </c>
      <c r="M31" s="21">
        <f t="shared" si="9"/>
        <v>-113.28979173704093</v>
      </c>
      <c r="N31" s="21">
        <f t="shared" si="10"/>
        <v>121.57749999999997</v>
      </c>
      <c r="O31" s="21">
        <f t="shared" si="11"/>
        <v>39.506136815741847</v>
      </c>
      <c r="P31" s="21">
        <f t="shared" si="12"/>
        <v>0.20563059266228551</v>
      </c>
      <c r="Q31" s="22">
        <f t="shared" si="13"/>
        <v>534.14628184707999</v>
      </c>
      <c r="R31" s="12"/>
      <c r="S31" s="1">
        <v>135</v>
      </c>
      <c r="T31" s="21">
        <f t="shared" si="14"/>
        <v>-0.20563059266228553</v>
      </c>
      <c r="U31" s="21">
        <f t="shared" si="15"/>
        <v>182.77875</v>
      </c>
      <c r="V31" s="21">
        <f t="shared" si="16"/>
        <v>-121.5775</v>
      </c>
      <c r="W31" s="21">
        <f t="shared" si="17"/>
        <v>36.506028998918175</v>
      </c>
      <c r="X31" s="21">
        <f t="shared" si="18"/>
        <v>32.397202433533778</v>
      </c>
      <c r="Y31" s="31">
        <f t="shared" si="19"/>
        <v>129.89885083978967</v>
      </c>
    </row>
    <row r="32" spans="1:25" x14ac:dyDescent="0.25">
      <c r="A32" s="15">
        <v>140</v>
      </c>
      <c r="B32" s="21">
        <f t="shared" si="0"/>
        <v>-18.621182869916339</v>
      </c>
      <c r="C32" s="21">
        <f t="shared" si="1"/>
        <v>-31.152035828722994</v>
      </c>
      <c r="D32" s="21">
        <f t="shared" si="2"/>
        <v>82.178248989049678</v>
      </c>
      <c r="E32" s="21">
        <f t="shared" si="3"/>
        <v>-29.028603065414099</v>
      </c>
      <c r="F32" s="21">
        <f t="shared" si="4"/>
        <v>-3.9770033549390091</v>
      </c>
      <c r="G32" s="21">
        <f t="shared" si="5"/>
        <v>-0.18703790508301027</v>
      </c>
      <c r="H32" s="22">
        <f t="shared" si="6"/>
        <v>-0.7876140350257741</v>
      </c>
      <c r="I32" s="12"/>
      <c r="J32" s="1">
        <v>140</v>
      </c>
      <c r="K32" s="21">
        <f t="shared" si="7"/>
        <v>193.91489107168675</v>
      </c>
      <c r="L32" s="21">
        <f t="shared" si="8"/>
        <v>264.65936052862651</v>
      </c>
      <c r="M32" s="21">
        <f t="shared" si="9"/>
        <v>-124.83819278741782</v>
      </c>
      <c r="N32" s="21">
        <f t="shared" si="10"/>
        <v>142.68921132030115</v>
      </c>
      <c r="O32" s="21">
        <f t="shared" si="11"/>
        <v>48.069630119865359</v>
      </c>
      <c r="P32" s="21">
        <f t="shared" si="12"/>
        <v>0.24804313622168994</v>
      </c>
      <c r="Q32" s="22">
        <f t="shared" si="13"/>
        <v>524.49490025306193</v>
      </c>
      <c r="R32" s="12"/>
      <c r="S32" s="1">
        <v>140</v>
      </c>
      <c r="T32" s="21">
        <f t="shared" si="14"/>
        <v>-0.20813290411967592</v>
      </c>
      <c r="U32" s="21">
        <f t="shared" si="15"/>
        <v>180.00193008588013</v>
      </c>
      <c r="V32" s="21">
        <f t="shared" si="16"/>
        <v>-119.73046459184172</v>
      </c>
      <c r="W32" s="21">
        <f t="shared" si="17"/>
        <v>36.725541455839853</v>
      </c>
      <c r="X32" s="21">
        <f t="shared" si="18"/>
        <v>32.664887885015887</v>
      </c>
      <c r="Y32" s="25">
        <f t="shared" si="19"/>
        <v>129.45376193077448</v>
      </c>
    </row>
    <row r="33" spans="1:25" x14ac:dyDescent="0.25">
      <c r="A33" s="15">
        <v>145</v>
      </c>
      <c r="B33" s="21">
        <f t="shared" si="0"/>
        <v>-4.1677948662405262</v>
      </c>
      <c r="C33" s="21">
        <f t="shared" si="1"/>
        <v>32.76564220876142</v>
      </c>
      <c r="D33" s="21">
        <f t="shared" si="2"/>
        <v>58.443015982922581</v>
      </c>
      <c r="E33" s="21">
        <f t="shared" si="3"/>
        <v>-57.175186715867731</v>
      </c>
      <c r="F33" s="21">
        <f t="shared" si="4"/>
        <v>-13.594129429686005</v>
      </c>
      <c r="G33" s="21">
        <f t="shared" si="5"/>
        <v>-0.23656895058099831</v>
      </c>
      <c r="H33" s="22">
        <f t="shared" si="6"/>
        <v>16.034978229308731</v>
      </c>
      <c r="I33" s="12"/>
      <c r="J33" s="1">
        <v>145</v>
      </c>
      <c r="K33" s="21">
        <f t="shared" si="7"/>
        <v>184.73284738726898</v>
      </c>
      <c r="L33" s="21">
        <f t="shared" si="8"/>
        <v>241.41656851499584</v>
      </c>
      <c r="M33" s="21">
        <f t="shared" si="9"/>
        <v>-133.11390158495539</v>
      </c>
      <c r="N33" s="21">
        <f t="shared" si="10"/>
        <v>163.15945397517655</v>
      </c>
      <c r="O33" s="21">
        <f t="shared" si="11"/>
        <v>56.64451654412391</v>
      </c>
      <c r="P33" s="21">
        <f t="shared" si="12"/>
        <v>0.2905361581165557</v>
      </c>
      <c r="Q33" s="22">
        <f t="shared" si="13"/>
        <v>512.83948483660993</v>
      </c>
      <c r="R33" s="12"/>
      <c r="S33" s="1">
        <v>145</v>
      </c>
      <c r="T33" s="21">
        <f t="shared" si="14"/>
        <v>-0.2034356080357004</v>
      </c>
      <c r="U33" s="21">
        <f t="shared" si="15"/>
        <v>171.75584261147233</v>
      </c>
      <c r="V33" s="21">
        <f t="shared" si="16"/>
        <v>-114.24547960359877</v>
      </c>
      <c r="W33" s="21">
        <f t="shared" si="17"/>
        <v>35.697624180689452</v>
      </c>
      <c r="X33" s="21">
        <f t="shared" si="18"/>
        <v>31.765320209216846</v>
      </c>
      <c r="Y33" s="25">
        <f t="shared" si="19"/>
        <v>124.76987178974414</v>
      </c>
    </row>
    <row r="34" spans="1:25" x14ac:dyDescent="0.25">
      <c r="A34" s="15">
        <v>150</v>
      </c>
      <c r="B34" s="21">
        <f t="shared" si="0"/>
        <v>12.309533340622517</v>
      </c>
      <c r="C34" s="21">
        <f t="shared" si="1"/>
        <v>101.73596635494444</v>
      </c>
      <c r="D34" s="21">
        <f t="shared" si="2"/>
        <v>26.286630457857235</v>
      </c>
      <c r="E34" s="21">
        <f t="shared" si="3"/>
        <v>-83.58453125000004</v>
      </c>
      <c r="F34" s="21">
        <f t="shared" si="4"/>
        <v>-22.868016977144688</v>
      </c>
      <c r="G34" s="21">
        <f t="shared" si="5"/>
        <v>-0.28409383228524743</v>
      </c>
      <c r="H34" s="22">
        <f t="shared" si="6"/>
        <v>33.59548809399422</v>
      </c>
      <c r="I34" s="12"/>
      <c r="J34" s="1">
        <v>150</v>
      </c>
      <c r="K34" s="21">
        <f t="shared" si="7"/>
        <v>172.90806630845009</v>
      </c>
      <c r="L34" s="21">
        <f t="shared" si="8"/>
        <v>216.33645064365658</v>
      </c>
      <c r="M34" s="21">
        <f t="shared" si="9"/>
        <v>-137.28387221194811</v>
      </c>
      <c r="N34" s="21">
        <f t="shared" si="10"/>
        <v>182.36625000000004</v>
      </c>
      <c r="O34" s="21">
        <f t="shared" si="11"/>
        <v>64.913963834175888</v>
      </c>
      <c r="P34" s="21">
        <f t="shared" si="12"/>
        <v>0.33155295181117905</v>
      </c>
      <c r="Q34" s="22">
        <f t="shared" si="13"/>
        <v>499.24085857433448</v>
      </c>
      <c r="R34" s="12"/>
      <c r="S34" s="1">
        <v>150</v>
      </c>
      <c r="T34" s="21">
        <f t="shared" si="14"/>
        <v>-0.19142218597879923</v>
      </c>
      <c r="U34" s="21">
        <f t="shared" si="15"/>
        <v>158.29104077196496</v>
      </c>
      <c r="V34" s="21">
        <f t="shared" si="16"/>
        <v>-105.28920352860258</v>
      </c>
      <c r="W34" s="21">
        <f t="shared" si="17"/>
        <v>33.4168546769274</v>
      </c>
      <c r="X34" s="21">
        <f t="shared" si="18"/>
        <v>29.7255979014144</v>
      </c>
      <c r="Y34" s="25">
        <f t="shared" si="19"/>
        <v>115.95286763572537</v>
      </c>
    </row>
    <row r="35" spans="1:25" x14ac:dyDescent="0.25">
      <c r="A35" s="15">
        <v>155</v>
      </c>
      <c r="B35" s="21">
        <f t="shared" si="0"/>
        <v>30.756171771786057</v>
      </c>
      <c r="C35" s="21">
        <f t="shared" si="1"/>
        <v>175.23403079765359</v>
      </c>
      <c r="D35" s="21">
        <f t="shared" si="2"/>
        <v>-15.039661813425651</v>
      </c>
      <c r="E35" s="21">
        <f t="shared" si="3"/>
        <v>-107.45420209791469</v>
      </c>
      <c r="F35" s="21">
        <f t="shared" si="4"/>
        <v>-31.441602317183865</v>
      </c>
      <c r="G35" s="21">
        <f t="shared" si="5"/>
        <v>-0.32787656814360228</v>
      </c>
      <c r="H35" s="22">
        <f t="shared" si="6"/>
        <v>51.726859772771839</v>
      </c>
      <c r="I35" s="12"/>
      <c r="J35" s="1">
        <v>155</v>
      </c>
      <c r="K35" s="21">
        <f t="shared" si="7"/>
        <v>158.45976912118769</v>
      </c>
      <c r="L35" s="21">
        <f t="shared" si="8"/>
        <v>189.60988175539867</v>
      </c>
      <c r="M35" s="21">
        <f t="shared" si="9"/>
        <v>-136.59383504662287</v>
      </c>
      <c r="N35" s="21">
        <f t="shared" si="10"/>
        <v>199.72601061666523</v>
      </c>
      <c r="O35" s="21">
        <f t="shared" si="11"/>
        <v>72.562446752836507</v>
      </c>
      <c r="P35" s="21">
        <f t="shared" si="12"/>
        <v>0.369528738162478</v>
      </c>
      <c r="Q35" s="22">
        <f t="shared" si="13"/>
        <v>483.76427319946526</v>
      </c>
      <c r="R35" s="12"/>
      <c r="S35" s="1">
        <v>155</v>
      </c>
      <c r="T35" s="21">
        <f t="shared" si="14"/>
        <v>-0.17231408051351682</v>
      </c>
      <c r="U35" s="21">
        <f t="shared" si="15"/>
        <v>140.01664575773293</v>
      </c>
      <c r="V35" s="21">
        <f t="shared" si="16"/>
        <v>-93.133768283297556</v>
      </c>
      <c r="W35" s="21">
        <f t="shared" si="17"/>
        <v>29.93209173733668</v>
      </c>
      <c r="X35" s="21">
        <f t="shared" si="18"/>
        <v>26.615966087642001</v>
      </c>
      <c r="Y35" s="25">
        <f t="shared" si="19"/>
        <v>103.25862121890052</v>
      </c>
    </row>
    <row r="36" spans="1:25" x14ac:dyDescent="0.25">
      <c r="A36" s="15">
        <v>160</v>
      </c>
      <c r="B36" s="21">
        <f t="shared" si="0"/>
        <v>51.092551325077004</v>
      </c>
      <c r="C36" s="21">
        <f t="shared" si="1"/>
        <v>252.70047088713528</v>
      </c>
      <c r="D36" s="21">
        <f t="shared" si="2"/>
        <v>-66.119287449937943</v>
      </c>
      <c r="E36" s="21">
        <f t="shared" si="3"/>
        <v>-128.05893138953408</v>
      </c>
      <c r="F36" s="21">
        <f t="shared" si="4"/>
        <v>-38.979141720901282</v>
      </c>
      <c r="G36" s="21">
        <f t="shared" si="5"/>
        <v>-0.3662748729388976</v>
      </c>
      <c r="H36" s="22">
        <f t="shared" si="6"/>
        <v>70.269386778900099</v>
      </c>
      <c r="I36" s="12"/>
      <c r="J36" s="1">
        <v>160</v>
      </c>
      <c r="K36" s="21">
        <f t="shared" si="7"/>
        <v>141.43709513652431</v>
      </c>
      <c r="L36" s="21">
        <f t="shared" si="8"/>
        <v>161.44026717740533</v>
      </c>
      <c r="M36" s="21">
        <f t="shared" si="9"/>
        <v>-130.39599102904995</v>
      </c>
      <c r="N36" s="21">
        <f t="shared" si="10"/>
        <v>214.7112682832975</v>
      </c>
      <c r="O36" s="21">
        <f t="shared" si="11"/>
        <v>79.290795233882307</v>
      </c>
      <c r="P36" s="21">
        <f t="shared" si="12"/>
        <v>0.40296931236257916</v>
      </c>
      <c r="Q36" s="22">
        <f t="shared" si="13"/>
        <v>466.48343480205955</v>
      </c>
      <c r="R36" s="12"/>
      <c r="S36" s="1">
        <v>160</v>
      </c>
      <c r="T36" s="21">
        <f t="shared" si="14"/>
        <v>-0.14666883502269845</v>
      </c>
      <c r="U36" s="21">
        <f t="shared" si="15"/>
        <v>117.4879158139936</v>
      </c>
      <c r="V36" s="21">
        <f t="shared" si="16"/>
        <v>-78.148510616665263</v>
      </c>
      <c r="W36" s="21">
        <f t="shared" si="17"/>
        <v>25.345673332783388</v>
      </c>
      <c r="X36" s="21">
        <f t="shared" si="18"/>
        <v>22.54669924222236</v>
      </c>
      <c r="Y36" s="25">
        <f t="shared" si="19"/>
        <v>87.085108937311389</v>
      </c>
    </row>
    <row r="37" spans="1:25" x14ac:dyDescent="0.25">
      <c r="A37" s="15">
        <v>165</v>
      </c>
      <c r="B37" s="21">
        <f t="shared" si="0"/>
        <v>73.214306459758603</v>
      </c>
      <c r="C37" s="21">
        <f t="shared" si="1"/>
        <v>333.54572023879302</v>
      </c>
      <c r="D37" s="21">
        <f t="shared" si="2"/>
        <v>-127.33862163955908</v>
      </c>
      <c r="E37" s="21">
        <f t="shared" si="3"/>
        <v>-144.77265485182852</v>
      </c>
      <c r="F37" s="21">
        <f t="shared" si="4"/>
        <v>-45.181524873403291</v>
      </c>
      <c r="G37" s="21">
        <f t="shared" si="5"/>
        <v>-0.39781872064828738</v>
      </c>
      <c r="H37" s="22">
        <f t="shared" si="6"/>
        <v>89.069406613112506</v>
      </c>
      <c r="I37" s="12"/>
      <c r="J37" s="1">
        <v>165</v>
      </c>
      <c r="K37" s="21">
        <f t="shared" si="7"/>
        <v>121.9191905949493</v>
      </c>
      <c r="L37" s="21">
        <f t="shared" si="8"/>
        <v>132.04199468589343</v>
      </c>
      <c r="M37" s="21">
        <f t="shared" si="9"/>
        <v>-118.17378441696758</v>
      </c>
      <c r="N37" s="21">
        <f t="shared" si="10"/>
        <v>226.86670352860256</v>
      </c>
      <c r="O37" s="21">
        <f t="shared" si="11"/>
        <v>84.830764714035624</v>
      </c>
      <c r="P37" s="21">
        <f t="shared" si="12"/>
        <v>0.43052771261839112</v>
      </c>
      <c r="Q37" s="22">
        <f t="shared" si="13"/>
        <v>447.48486910651337</v>
      </c>
      <c r="R37" s="12"/>
      <c r="S37" s="1">
        <v>165</v>
      </c>
      <c r="T37" s="21">
        <f t="shared" si="14"/>
        <v>-0.11535955291531649</v>
      </c>
      <c r="U37" s="21">
        <f t="shared" si="15"/>
        <v>91.389375000000086</v>
      </c>
      <c r="V37" s="21">
        <f t="shared" si="16"/>
        <v>-60.788750000000057</v>
      </c>
      <c r="W37" s="21">
        <f t="shared" si="17"/>
        <v>19.809802455313413</v>
      </c>
      <c r="X37" s="21">
        <f t="shared" si="18"/>
        <v>17.663662816023855</v>
      </c>
      <c r="Y37" s="25">
        <f t="shared" si="19"/>
        <v>67.958730718421975</v>
      </c>
    </row>
    <row r="38" spans="1:25" x14ac:dyDescent="0.25">
      <c r="A38" s="15">
        <v>170</v>
      </c>
      <c r="B38" s="21">
        <f t="shared" si="0"/>
        <v>96.992685856749276</v>
      </c>
      <c r="C38" s="21">
        <f t="shared" si="1"/>
        <v>417.15449768936497</v>
      </c>
      <c r="D38" s="21">
        <f t="shared" si="2"/>
        <v>-198.86049590137398</v>
      </c>
      <c r="E38" s="21">
        <f t="shared" si="3"/>
        <v>-157.0875344549483</v>
      </c>
      <c r="F38" s="21">
        <f t="shared" si="4"/>
        <v>-49.800126670860493</v>
      </c>
      <c r="G38" s="21">
        <f t="shared" si="5"/>
        <v>-0.42128181542753168</v>
      </c>
      <c r="H38" s="22">
        <f t="shared" si="6"/>
        <v>107.97774470350393</v>
      </c>
      <c r="I38" s="12"/>
      <c r="J38" s="1">
        <v>170</v>
      </c>
      <c r="K38" s="21">
        <f t="shared" si="7"/>
        <v>100.01498994028279</v>
      </c>
      <c r="L38" s="21">
        <f t="shared" si="8"/>
        <v>101.63880288568545</v>
      </c>
      <c r="M38" s="21">
        <f t="shared" si="9"/>
        <v>-99.5629625881094</v>
      </c>
      <c r="N38" s="21">
        <f t="shared" si="10"/>
        <v>235.82297960359875</v>
      </c>
      <c r="O38" s="21">
        <f t="shared" si="11"/>
        <v>88.958305389437143</v>
      </c>
      <c r="P38" s="21">
        <f t="shared" si="12"/>
        <v>0.45107438870858596</v>
      </c>
      <c r="Q38" s="22">
        <f t="shared" si="13"/>
        <v>426.87211523089474</v>
      </c>
      <c r="R38" s="12"/>
      <c r="S38" s="1">
        <v>170</v>
      </c>
      <c r="T38" s="21">
        <f t="shared" si="14"/>
        <v>-7.9536585035901428E-2</v>
      </c>
      <c r="U38" s="21">
        <f t="shared" si="15"/>
        <v>62.514014271886545</v>
      </c>
      <c r="V38" s="21">
        <f t="shared" si="16"/>
        <v>-41.581953975176468</v>
      </c>
      <c r="W38" s="21">
        <f t="shared" si="17"/>
        <v>13.520270638812981</v>
      </c>
      <c r="X38" s="21">
        <f t="shared" si="18"/>
        <v>12.142704275229219</v>
      </c>
      <c r="Y38" s="25">
        <f t="shared" si="19"/>
        <v>46.515498625716376</v>
      </c>
    </row>
    <row r="39" spans="1:25" x14ac:dyDescent="0.25">
      <c r="A39" s="15">
        <v>175</v>
      </c>
      <c r="B39" s="21">
        <f t="shared" si="0"/>
        <v>122.27523084857826</v>
      </c>
      <c r="C39" s="21">
        <f t="shared" si="1"/>
        <v>502.89048995809139</v>
      </c>
      <c r="D39" s="21">
        <f t="shared" si="2"/>
        <v>-280.60385466129435</v>
      </c>
      <c r="E39" s="21">
        <f t="shared" si="3"/>
        <v>-164.62938881378238</v>
      </c>
      <c r="F39" s="21">
        <f t="shared" si="4"/>
        <v>-52.648451945738898</v>
      </c>
      <c r="G39" s="21">
        <f t="shared" si="5"/>
        <v>-0.43574192620610463</v>
      </c>
      <c r="H39" s="22">
        <f t="shared" si="6"/>
        <v>126.84828345964796</v>
      </c>
      <c r="I39" s="12"/>
      <c r="J39" s="1">
        <v>175</v>
      </c>
      <c r="K39" s="21">
        <f t="shared" si="7"/>
        <v>75.862688208106306</v>
      </c>
      <c r="L39" s="21">
        <f t="shared" si="8"/>
        <v>70.462078424330414</v>
      </c>
      <c r="M39" s="21">
        <f t="shared" si="9"/>
        <v>-74.368242170381421</v>
      </c>
      <c r="N39" s="21">
        <f t="shared" si="10"/>
        <v>241.30796459184174</v>
      </c>
      <c r="O39" s="21">
        <f t="shared" si="11"/>
        <v>91.50477251702759</v>
      </c>
      <c r="P39" s="21">
        <f t="shared" si="12"/>
        <v>0.46375669466794728</v>
      </c>
      <c r="Q39" s="22">
        <f t="shared" si="13"/>
        <v>404.76926157092464</v>
      </c>
      <c r="R39" s="12"/>
      <c r="S39" s="1">
        <v>175</v>
      </c>
      <c r="T39" s="21">
        <f t="shared" si="14"/>
        <v>-4.0573453417698725E-2</v>
      </c>
      <c r="U39" s="21">
        <f t="shared" si="15"/>
        <v>31.739196853739454</v>
      </c>
      <c r="V39" s="21">
        <f t="shared" si="16"/>
        <v>-21.111711320301229</v>
      </c>
      <c r="W39" s="21">
        <f t="shared" si="17"/>
        <v>6.7078281827900934</v>
      </c>
      <c r="X39" s="21">
        <f t="shared" si="18"/>
        <v>6.1830606029321844</v>
      </c>
      <c r="Y39" s="25">
        <f t="shared" si="19"/>
        <v>23.477800865742804</v>
      </c>
    </row>
    <row r="40" spans="1:25" ht="14.4" thickBot="1" x14ac:dyDescent="0.3">
      <c r="A40" s="16">
        <v>180</v>
      </c>
      <c r="B40" s="23">
        <f t="shared" si="0"/>
        <v>148.88671874999994</v>
      </c>
      <c r="C40" s="23">
        <f t="shared" si="1"/>
        <v>590.10119437499986</v>
      </c>
      <c r="D40" s="23">
        <f t="shared" si="2"/>
        <v>-372.23029593749993</v>
      </c>
      <c r="E40" s="21">
        <f t="shared" si="3"/>
        <v>-167.1690625</v>
      </c>
      <c r="F40" s="23">
        <f t="shared" si="4"/>
        <v>-53.610940625000012</v>
      </c>
      <c r="G40" s="23">
        <f>$H$2*$C$2^2*IF(AND(A40&gt;=0, A40&lt;=45),
0.2346-0.3536*COS(RADIANS(A40)),
IF(AND(A40&gt;45, A40&lt;=180),
-0.3487+0.5*SIN(RADIANS(A40))^2+0.2357*COS(RADIANS(A40))^3,
""))</f>
        <v>-0.4406266425</v>
      </c>
      <c r="H40" s="27">
        <f t="shared" si="6"/>
        <v>145.5369874199998</v>
      </c>
      <c r="I40" s="17"/>
      <c r="J40" s="18">
        <v>180</v>
      </c>
      <c r="K40" s="23">
        <f t="shared" si="7"/>
        <v>49.628906250000036</v>
      </c>
      <c r="L40" s="23">
        <f t="shared" si="8"/>
        <v>38.749095000000047</v>
      </c>
      <c r="M40" s="23">
        <f t="shared" si="9"/>
        <v>-42.575032500000049</v>
      </c>
      <c r="N40" s="23">
        <f t="shared" si="10"/>
        <v>243.155</v>
      </c>
      <c r="O40" s="23">
        <f t="shared" si="11"/>
        <v>92.365432499999997</v>
      </c>
      <c r="P40" s="23">
        <f t="shared" si="12"/>
        <v>0.46804414250000004</v>
      </c>
      <c r="Q40" s="29">
        <f t="shared" si="13"/>
        <v>381.32340125000002</v>
      </c>
      <c r="R40" s="17"/>
      <c r="S40" s="18">
        <v>180</v>
      </c>
      <c r="T40" s="23">
        <f t="shared" si="14"/>
        <v>-5.7342355801290487E-17</v>
      </c>
      <c r="U40" s="23">
        <f t="shared" si="15"/>
        <v>4.4786220630525783E-14</v>
      </c>
      <c r="V40" s="23">
        <f t="shared" si="16"/>
        <v>-2.9790097255330552E-14</v>
      </c>
      <c r="W40" s="23">
        <f t="shared" si="17"/>
        <v>-0.37234808932261743</v>
      </c>
      <c r="X40" s="23">
        <f t="shared" si="18"/>
        <v>1.3155182820875178E-14</v>
      </c>
      <c r="Y40" s="26">
        <f t="shared" si="19"/>
        <v>-0.37234808932258934</v>
      </c>
    </row>
    <row r="42" spans="1:25" x14ac:dyDescent="0.25">
      <c r="H42" s="30">
        <f>COS(RADIANS(A40))</f>
        <v>-1</v>
      </c>
    </row>
    <row r="43" spans="1:25" x14ac:dyDescent="0.25">
      <c r="H43">
        <f>TAN(RADIANS(40))</f>
        <v>0.83909963117727993</v>
      </c>
    </row>
  </sheetData>
  <phoneticPr fontId="1" type="noConversion"/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138C4C-6551-40EE-8BE2-C781E85FB2FF}">
  <dimension ref="A1:Y43"/>
  <sheetViews>
    <sheetView zoomScale="70" zoomScaleNormal="70" workbookViewId="0">
      <selection activeCell="J41" sqref="A1:XFD1048576"/>
    </sheetView>
  </sheetViews>
  <sheetFormatPr defaultRowHeight="13.8" x14ac:dyDescent="0.25"/>
  <sheetData>
    <row r="1" spans="1:25" x14ac:dyDescent="0.25">
      <c r="A1" s="5" t="s">
        <v>0</v>
      </c>
      <c r="B1" s="6" t="s">
        <v>3</v>
      </c>
      <c r="C1" s="6" t="s">
        <v>4</v>
      </c>
      <c r="D1" s="6" t="s">
        <v>5</v>
      </c>
      <c r="E1" s="6" t="s">
        <v>6</v>
      </c>
      <c r="F1" s="6" t="s">
        <v>7</v>
      </c>
      <c r="G1" s="6" t="s">
        <v>8</v>
      </c>
      <c r="H1" s="6" t="s">
        <v>9</v>
      </c>
      <c r="I1" s="7"/>
      <c r="J1" s="8" t="s">
        <v>10</v>
      </c>
      <c r="K1" s="7"/>
      <c r="L1" s="7"/>
      <c r="M1" s="7"/>
      <c r="N1" s="7"/>
      <c r="O1" s="7"/>
      <c r="P1" s="7"/>
      <c r="Q1" s="7"/>
      <c r="R1" s="7"/>
      <c r="S1" s="9" t="s">
        <v>13</v>
      </c>
      <c r="T1" s="7"/>
      <c r="U1" s="7"/>
      <c r="V1" s="7"/>
      <c r="W1" s="7"/>
      <c r="X1" s="7"/>
      <c r="Y1" s="10"/>
    </row>
    <row r="2" spans="1:25" x14ac:dyDescent="0.25">
      <c r="A2" s="11"/>
      <c r="B2" s="2">
        <v>13.125</v>
      </c>
      <c r="C2" s="2">
        <v>2.75</v>
      </c>
      <c r="D2" s="2">
        <v>185.88</v>
      </c>
      <c r="E2" s="2">
        <v>199.005</v>
      </c>
      <c r="F2" s="2">
        <v>86.48</v>
      </c>
      <c r="G2" s="2">
        <v>44.48</v>
      </c>
      <c r="H2" s="2">
        <v>0.27576000000000001</v>
      </c>
      <c r="I2" s="12"/>
      <c r="J2" s="12"/>
      <c r="K2" s="12"/>
      <c r="L2" s="12"/>
      <c r="M2" s="12"/>
      <c r="N2" s="12"/>
      <c r="O2" s="12"/>
      <c r="P2" s="12"/>
      <c r="Q2" s="12"/>
      <c r="R2" s="12"/>
      <c r="S2" s="12"/>
      <c r="T2" s="24"/>
      <c r="U2" s="12"/>
      <c r="V2" s="12"/>
      <c r="W2" s="12"/>
      <c r="X2" s="12"/>
      <c r="Y2" s="13"/>
    </row>
    <row r="3" spans="1:25" ht="15.6" x14ac:dyDescent="0.3">
      <c r="A3" s="14" t="s">
        <v>1</v>
      </c>
      <c r="B3" s="4">
        <v>1</v>
      </c>
      <c r="C3" s="4">
        <v>2</v>
      </c>
      <c r="D3" s="4">
        <v>3</v>
      </c>
      <c r="E3" s="4">
        <v>4</v>
      </c>
      <c r="F3" s="4">
        <v>5</v>
      </c>
      <c r="G3" s="4">
        <v>6</v>
      </c>
      <c r="H3" s="19" t="s">
        <v>2</v>
      </c>
      <c r="I3" s="12"/>
      <c r="J3" s="3" t="s">
        <v>1</v>
      </c>
      <c r="K3" s="4">
        <v>1</v>
      </c>
      <c r="L3" s="4">
        <v>2</v>
      </c>
      <c r="M3" s="4">
        <v>3</v>
      </c>
      <c r="N3" s="4">
        <v>4</v>
      </c>
      <c r="O3" s="4">
        <v>5</v>
      </c>
      <c r="P3" s="4">
        <v>6</v>
      </c>
      <c r="Q3" s="19" t="s">
        <v>11</v>
      </c>
      <c r="R3" s="12"/>
      <c r="S3" s="3" t="s">
        <v>1</v>
      </c>
      <c r="T3" s="4">
        <v>1</v>
      </c>
      <c r="U3" s="4">
        <v>2</v>
      </c>
      <c r="V3" s="4">
        <v>3</v>
      </c>
      <c r="W3" s="4">
        <v>4</v>
      </c>
      <c r="X3" s="4">
        <v>5</v>
      </c>
      <c r="Y3" s="20" t="s">
        <v>12</v>
      </c>
    </row>
    <row r="4" spans="1:25" x14ac:dyDescent="0.25">
      <c r="A4" s="15">
        <v>0</v>
      </c>
      <c r="B4" s="21">
        <f>$B$2*$C$2^2*(1-0.5*COS(RADIANS(A4))-RADIANS(A4)*SIN(RADIANS(A4)))</f>
        <v>49.62890625</v>
      </c>
      <c r="C4" s="21">
        <f>$D$2*$C$2^2*IF(AND(A4&gt;=0, A4&lt;=90),
0.193+0.106*COS(RADIANS(A4))-0.5*SIN(RADIANS(A4))^2,
IF(AND(A4&gt;90, A4&lt;=180),
0.693+0.106*COS(RADIANS(A4))-SIN(RADIANS(A4)),
""))</f>
        <v>420.30953249999999</v>
      </c>
      <c r="D4" s="21">
        <f>$E$2*$C$2^2*IF(AND(A4&gt;=0, A4&lt;=90),
0.057-0.106*COS(RADIANS(A4)),
IF(AND(A4&gt;90, A4&lt;=180),
-0.443+SIN(RADIANS(A4))-0.106*COS(RADIANS(A4))-0.5*SIN(RADIANS(A4))^2,
""))</f>
        <v>-73.743790312499996</v>
      </c>
      <c r="E4" s="21">
        <f>$F$2*$C$2^2*(0.25-0.5*COS(RADIANS(A4))^2)</f>
        <v>-163.50125</v>
      </c>
      <c r="F4" s="21">
        <f>$G$2*$C$2^2*(0.25*SIN(RADIANS(A4))^2+0.083*COS(RADIANS(A4))^3-0.063*COS(RADIANS(A4))-0.125)</f>
        <v>-35.319899999999997</v>
      </c>
      <c r="G4" s="21">
        <f>$H$2*$C$2^2*IF(AND(A4&gt;=0, A4&lt;=45),
0.2346-0.3536*COS(RADIANS(A4)),
IF(AND(A4&gt;45, A4&lt;=180),
-0.3487+0.5*SIN(RADIANS(A4))^2+0.2357*COS(RADIANS(A4))^3,
""))</f>
        <v>-0.24816676500000004</v>
      </c>
      <c r="H4" s="22">
        <f>SUM(B4:G4)</f>
        <v>197.12533167250001</v>
      </c>
      <c r="I4" s="12"/>
      <c r="J4" s="1">
        <v>0</v>
      </c>
      <c r="K4" s="21">
        <f>$B$2*$C$2^2*(RADIANS(J4)*SIN(RADIANS(J4))-0.5*COS(RADIANS(J4)))</f>
        <v>-49.62890625</v>
      </c>
      <c r="L4" s="21">
        <f>$D$2*$C$2*IF(AND(J4&gt;=0, J4&lt;=90),
SIN(RADIANS(J4))^2-0.106*COS(RADIANS(J4)),
IF(AND(J4&gt;90, J4&lt;=180),
SIN(RADIANS(J4))-0.106*COS(RADIANS(J4)),
""))</f>
        <v>-54.184019999999997</v>
      </c>
      <c r="M4" s="21">
        <f>IF(AND(J4&gt;=0, J4&lt;=90),
0.106*$E$2*$C$2*COS(RADIANS(J4)),
IF(AND(J4&gt;90, J4&lt;=180),
$E$2*$C$2*(SIN(RADIANS(J4))^2-SIN(RADIANS(J4))+0.106*COS(RADIANS(J4))),
""))</f>
        <v>58.009957499999999</v>
      </c>
      <c r="N4" s="21">
        <f>$F$2*$C$2*COS(RADIANS(J4))^2</f>
        <v>237.82000000000002</v>
      </c>
      <c r="O4" s="21">
        <f>$G$2*$C$2*COS(RADIANS(J4))*(0.063+0.5*COS(RADIANS(J4))-0.25*COS(RADIANS(J4))^2)</f>
        <v>38.286159999999988</v>
      </c>
      <c r="P4" s="21">
        <f>IF(AND(J4&gt;=0, J4&lt;=45),
0.3536*$H$2*$C$2*COS(RADIANS(J4)),
IF(AND(J4&gt;45, J4&lt;=180),
$H$2*$C$2*(-0.7071*COS(RADIANS(J4))+COS(RADIANS(J4))^2+0.7071*SIN(RADIANS(J4))^2*COS(RADIANS(J4))),
""))</f>
        <v>0.26814902400000001</v>
      </c>
      <c r="Q4" s="22">
        <f>SUM(K4:O4)</f>
        <v>230.30319125</v>
      </c>
      <c r="R4" s="12"/>
      <c r="S4" s="1">
        <v>0</v>
      </c>
      <c r="T4" s="21">
        <f>IF(AND(J4&gt;=0, J4&lt;=45),
0.3536*SIN(RADIANS(S4))*$H$2,
IF(AND(J4&gt;45, J4&lt;=180),
(SIN(RADIANS(S4))*COS(RADIANS(S4))-0.7071*COS(RADIANS(S4))^2*SIN(RADIANS(S4)))*$H$2*$C$2,
""))</f>
        <v>0</v>
      </c>
      <c r="U4" s="21">
        <f>-$D$2*$C$2*SIN(RADIANS(S4))*COS(RADIANS(S4))</f>
        <v>0</v>
      </c>
      <c r="V4" s="21">
        <f>$C$2*$F$2*SIN(RADIANS(S4))*COS(RADIANS(S4))</f>
        <v>0</v>
      </c>
      <c r="W4" s="21">
        <f>$C$2*(SIN(RADIANS(RADIANS(S4)))+8*SIN(RADIANS(S4))*COS(RADIANS(S4))-4*SIN(RADIANS(S4))*COS(RADIANS(S4))^2)*(($G$2-$F$2)/16)</f>
        <v>0</v>
      </c>
      <c r="X4" s="21">
        <f>IF(AND(S4&gt;=0, S4&lt;=90),
(-RADIANS(S4)*COS(RADIANS(S4))-SIN(RADIANS(S4))/6)*$B$2*$C$2,
IF(AND(S4&gt;90, S4&lt;=180),
((PI()-RADIANS(S4))*COS(RADIANS(S4))-PI()*SIN(RADIANS(S4))*COS(RADIANS(S4))-SIN(RADIANS(S4))/6)*$B$2*$C$2,
""))</f>
        <v>0</v>
      </c>
      <c r="Y4" s="25">
        <f>SUM(T4:X4)</f>
        <v>0</v>
      </c>
    </row>
    <row r="5" spans="1:25" x14ac:dyDescent="0.25">
      <c r="A5" s="15">
        <v>5</v>
      </c>
      <c r="B5" s="21">
        <f t="shared" ref="B5:B40" si="0">$B$2*$C$2^2*(1-0.5*COS(RADIANS(A5))-RADIANS(A5)*SIN(RADIANS(A5)))</f>
        <v>49.062826795093017</v>
      </c>
      <c r="C5" s="21">
        <f t="shared" ref="C5:C40" si="1">$D$2*$C$2^2*IF(AND(A5&gt;=0, A5&lt;=90),
0.193+0.106*COS(RADIANS(A5))-0.5*SIN(RADIANS(A5))^2,
IF(AND(A5&gt;90, A5&lt;=180),
0.693+0.106*COS(RADIANS(A5))-SIN(RADIANS(A5)),
""))</f>
        <v>414.40351761080166</v>
      </c>
      <c r="D5" s="21">
        <f t="shared" ref="D5:D40" si="2">$E$2*$C$2^2*IF(AND(A5&gt;=0, A5&lt;=90),
0.057-0.106*COS(RADIANS(A5)),
IF(AND(A5&gt;90, A5&lt;=180),
-0.443+SIN(RADIANS(A5))-0.106*COS(RADIANS(A5))-0.5*SIN(RADIANS(A5))^2,
""))</f>
        <v>-73.136740457075589</v>
      </c>
      <c r="E5" s="21">
        <f t="shared" ref="E5:E40" si="3">$F$2*$C$2^2*(0.25-0.5*COS(RADIANS(A5))^2)</f>
        <v>-161.0172986271873</v>
      </c>
      <c r="F5" s="21">
        <f t="shared" ref="F5:F40" si="4">$G$2*$C$2^2*(0.25*SIN(RADIANS(A5))^2+0.083*COS(RADIANS(A5))^3-0.063*COS(RADIANS(A5))-0.125)</f>
        <v>-34.917977788161217</v>
      </c>
      <c r="G5" s="21">
        <f t="shared" ref="G5:G39" si="5">$H$2*$C$2^2*IF(AND(A5&gt;=0, A5&lt;=45),
0.2346-0.3536*COS(RADIANS(A5)),
IF(AND(A5&gt;45, A5&lt;=180),
-0.3487+0.5*SIN(RADIANS(A5))^2+0.2357*COS(RADIANS(A5))^3,
""))</f>
        <v>-0.24536069802000965</v>
      </c>
      <c r="H5" s="22">
        <f t="shared" ref="H5:H40" si="6">SUM(B5:G5)</f>
        <v>194.14896683545058</v>
      </c>
      <c r="I5" s="12"/>
      <c r="J5" s="1">
        <v>5</v>
      </c>
      <c r="K5" s="21">
        <f t="shared" ref="K5:K40" si="7">$B$2*$C$2^2*(RADIANS(J5)*SIN(RADIANS(J5))-0.5*COS(RADIANS(J5)))</f>
        <v>-48.685120851777604</v>
      </c>
      <c r="L5" s="21">
        <f t="shared" ref="L5:L40" si="8">$D$2*$C$2*IF(AND(J5&gt;=0, J5&lt;=90),
SIN(RADIANS(J5))^2-0.106*COS(RADIANS(J5)),
IF(AND(J5&gt;90, J5&lt;=180),
SIN(RADIANS(J5))-0.106*COS(RADIANS(J5)),
""))</f>
        <v>-50.094922998922286</v>
      </c>
      <c r="M5" s="21">
        <f t="shared" ref="M5:M40" si="9">IF(AND(J5&gt;=0, J5&lt;=90),
0.106*$E$2*$C$2*COS(RADIANS(J5)),
IF(AND(J5&gt;90, J5&lt;=180),
$E$2*$C$2*(SIN(RADIANS(J5))^2-SIN(RADIANS(J5))+0.106*COS(RADIANS(J5))),
""))</f>
        <v>57.789212098027491</v>
      </c>
      <c r="N5" s="21">
        <f t="shared" ref="N5:N40" si="10">$F$2*$C$2*COS(RADIANS(J5))^2</f>
        <v>236.0134899106817</v>
      </c>
      <c r="O5" s="21">
        <f t="shared" ref="O5:O40" si="11">$G$2*$C$2*COS(RADIANS(J5))*(0.063+0.5*COS(RADIANS(J5))-0.25*COS(RADIANS(J5))^2)</f>
        <v>38.140028479045903</v>
      </c>
      <c r="P5" s="21">
        <f t="shared" ref="P5:P40" si="12">IF(AND(J5&gt;=0, J5&lt;=45),
0.3536*$H$2*$C$2*COS(RADIANS(J5)),
IF(AND(J5&gt;45, J5&lt;=180),
$H$2*$C$2*(-0.7071*COS(RADIANS(J5))+COS(RADIANS(J5))^2+0.7071*SIN(RADIANS(J5))^2*COS(RADIANS(J5))),
""))</f>
        <v>0.26712863600727627</v>
      </c>
      <c r="Q5" s="22">
        <f t="shared" ref="Q5:Q40" si="13">SUM(K5:O5)</f>
        <v>233.1626866370552</v>
      </c>
      <c r="R5" s="12"/>
      <c r="S5" s="1">
        <v>5</v>
      </c>
      <c r="T5" s="21">
        <f t="shared" ref="T5:T40" si="14">IF(AND(J5&gt;=0, J5&lt;=45),
0.3536*SIN(RADIANS(S5))*$H$2,
IF(AND(J5&gt;45, J5&lt;=180),
(SIN(RADIANS(S5))*COS(RADIANS(S5))-0.7071*COS(RADIANS(S5))^2*SIN(RADIANS(S5)))*$H$2*$C$2,
""))</f>
        <v>8.4984463104653164E-3</v>
      </c>
      <c r="U5" s="21">
        <f t="shared" ref="U5:U40" si="15">-$D$2*$C$2*SIN(RADIANS(S5))*COS(RADIANS(S5))</f>
        <v>-44.381869489002383</v>
      </c>
      <c r="V5" s="21">
        <f t="shared" ref="V5:V40" si="16">$C$2*$F$2*SIN(RADIANS(S5))*COS(RADIANS(S5))</f>
        <v>20.648504806374689</v>
      </c>
      <c r="W5" s="21">
        <f t="shared" ref="W5:W40" si="17">$C$2*(SIN(RADIANS(RADIANS(S5)))+8*SIN(RADIANS(S5))*COS(RADIANS(S5))-4*SIN(RADIANS(S5))*COS(RADIANS(S5))^2)*(($G$2-$F$2)/16)</f>
        <v>-2.5275804110836217</v>
      </c>
      <c r="X5" s="21">
        <f t="shared" ref="X5:X40" si="18">IF(AND(S5&gt;=0, S5&lt;=90),
(-RADIANS(S5)*COS(RADIANS(S5))-SIN(RADIANS(S5))/6)*$B$2*$C$2,
IF(AND(S5&gt;90, S5&lt;=180),
((PI()-RADIANS(S5))*COS(RADIANS(S5))-PI()*SIN(RADIANS(S5))*COS(RADIANS(S5))-SIN(RADIANS(S5))/6)*$B$2*$C$2,
""))</f>
        <v>-3.6620843088517976</v>
      </c>
      <c r="Y5" s="25">
        <f t="shared" ref="Y5:Y40" si="19">SUM(T5:X5)</f>
        <v>-29.914530956252655</v>
      </c>
    </row>
    <row r="6" spans="1:25" x14ac:dyDescent="0.25">
      <c r="A6" s="15">
        <v>10</v>
      </c>
      <c r="B6" s="21">
        <f t="shared" si="0"/>
        <v>47.374642128438865</v>
      </c>
      <c r="C6" s="21">
        <f t="shared" si="1"/>
        <v>396.85201112466729</v>
      </c>
      <c r="D6" s="21">
        <f t="shared" si="2"/>
        <v>-71.320210906748883</v>
      </c>
      <c r="E6" s="21">
        <f t="shared" si="3"/>
        <v>-153.64091811427198</v>
      </c>
      <c r="F6" s="21">
        <f t="shared" si="4"/>
        <v>-33.715419970970217</v>
      </c>
      <c r="G6" s="21">
        <f t="shared" si="5"/>
        <v>-0.2369638529441058</v>
      </c>
      <c r="H6" s="22">
        <f t="shared" si="6"/>
        <v>185.31314040817094</v>
      </c>
      <c r="I6" s="12"/>
      <c r="J6" s="1">
        <v>10</v>
      </c>
      <c r="K6" s="21">
        <f t="shared" si="7"/>
        <v>-45.866692925470922</v>
      </c>
      <c r="L6" s="21">
        <f t="shared" si="8"/>
        <v>-37.947181468934936</v>
      </c>
      <c r="M6" s="21">
        <f t="shared" si="9"/>
        <v>57.128655897908686</v>
      </c>
      <c r="N6" s="21">
        <f t="shared" si="10"/>
        <v>230.64884953765235</v>
      </c>
      <c r="O6" s="21">
        <f t="shared" si="11"/>
        <v>37.697556430318606</v>
      </c>
      <c r="P6" s="21">
        <f t="shared" si="12"/>
        <v>0.26407523779785663</v>
      </c>
      <c r="Q6" s="22">
        <f t="shared" si="13"/>
        <v>241.66118747147377</v>
      </c>
      <c r="R6" s="12"/>
      <c r="S6" s="1">
        <v>10</v>
      </c>
      <c r="T6" s="21">
        <f t="shared" si="14"/>
        <v>1.6932214313005806E-2</v>
      </c>
      <c r="U6" s="21">
        <f t="shared" si="15"/>
        <v>-87.415218331891026</v>
      </c>
      <c r="V6" s="21">
        <f t="shared" si="16"/>
        <v>40.669615242855272</v>
      </c>
      <c r="W6" s="21">
        <f t="shared" si="17"/>
        <v>-5.0349233919788805</v>
      </c>
      <c r="X6" s="21">
        <f t="shared" si="18"/>
        <v>-7.2484458020778808</v>
      </c>
      <c r="Y6" s="25">
        <f t="shared" si="19"/>
        <v>-59.012040068779513</v>
      </c>
    </row>
    <row r="7" spans="1:25" x14ac:dyDescent="0.25">
      <c r="A7" s="15">
        <v>15</v>
      </c>
      <c r="B7" s="21">
        <f t="shared" si="0"/>
        <v>44.594393102864657</v>
      </c>
      <c r="C7" s="21">
        <f t="shared" si="1"/>
        <v>368.14966568403725</v>
      </c>
      <c r="D7" s="21">
        <f t="shared" si="2"/>
        <v>-68.308026548248392</v>
      </c>
      <c r="E7" s="21">
        <f t="shared" si="3"/>
        <v>-141.59623605051047</v>
      </c>
      <c r="F7" s="21">
        <f t="shared" si="4"/>
        <v>-31.722367747309256</v>
      </c>
      <c r="G7" s="21">
        <f t="shared" si="5"/>
        <v>-0.22304013483346991</v>
      </c>
      <c r="H7" s="22">
        <f t="shared" si="6"/>
        <v>170.89438830600034</v>
      </c>
      <c r="I7" s="12"/>
      <c r="J7" s="1">
        <v>15</v>
      </c>
      <c r="K7" s="21">
        <f t="shared" si="7"/>
        <v>-41.212265157572567</v>
      </c>
      <c r="L7" s="21">
        <f t="shared" si="8"/>
        <v>-18.095847116409161</v>
      </c>
      <c r="M7" s="21">
        <f t="shared" si="9"/>
        <v>56.033316131181238</v>
      </c>
      <c r="N7" s="21">
        <f t="shared" si="10"/>
        <v>221.88908076400764</v>
      </c>
      <c r="O7" s="21">
        <f t="shared" si="11"/>
        <v>36.947295645132961</v>
      </c>
      <c r="P7" s="21">
        <f t="shared" si="12"/>
        <v>0.25901206757580725</v>
      </c>
      <c r="Q7" s="22">
        <f t="shared" si="13"/>
        <v>255.56158026634012</v>
      </c>
      <c r="R7" s="12"/>
      <c r="S7" s="1">
        <v>15</v>
      </c>
      <c r="T7" s="21">
        <f t="shared" si="14"/>
        <v>2.5237117940673789E-2</v>
      </c>
      <c r="U7" s="21">
        <f t="shared" si="15"/>
        <v>-127.79249999999998</v>
      </c>
      <c r="V7" s="21">
        <f t="shared" si="16"/>
        <v>59.455000000000005</v>
      </c>
      <c r="W7" s="21">
        <f t="shared" si="17"/>
        <v>-7.4977071816868071</v>
      </c>
      <c r="X7" s="21">
        <f t="shared" si="18"/>
        <v>-10.684302144102814</v>
      </c>
      <c r="Y7" s="25">
        <f t="shared" si="19"/>
        <v>-86.494272207848908</v>
      </c>
    </row>
    <row r="8" spans="1:25" x14ac:dyDescent="0.25">
      <c r="A8" s="15">
        <v>20</v>
      </c>
      <c r="B8" s="21">
        <f t="shared" si="0"/>
        <v>40.771748249733896</v>
      </c>
      <c r="C8" s="21">
        <f t="shared" si="1"/>
        <v>329.10451270344475</v>
      </c>
      <c r="D8" s="21">
        <f t="shared" si="2"/>
        <v>-64.123111923348944</v>
      </c>
      <c r="E8" s="21">
        <f t="shared" si="3"/>
        <v>-125.24922400550682</v>
      </c>
      <c r="F8" s="21">
        <f t="shared" si="4"/>
        <v>-28.957381574880202</v>
      </c>
      <c r="G8" s="21">
        <f t="shared" si="5"/>
        <v>-0.20369551159029453</v>
      </c>
      <c r="H8" s="22">
        <f t="shared" si="6"/>
        <v>151.34284793785241</v>
      </c>
      <c r="I8" s="12"/>
      <c r="J8" s="1">
        <v>20</v>
      </c>
      <c r="K8" s="21">
        <f t="shared" si="7"/>
        <v>-34.785769711335199</v>
      </c>
      <c r="L8" s="21">
        <f t="shared" si="8"/>
        <v>8.8792072469199148</v>
      </c>
      <c r="M8" s="21">
        <f t="shared" si="9"/>
        <v>54.51152899485416</v>
      </c>
      <c r="N8" s="21">
        <f t="shared" si="10"/>
        <v>210.00034473127772</v>
      </c>
      <c r="O8" s="21">
        <f t="shared" si="11"/>
        <v>35.87271049944907</v>
      </c>
      <c r="P8" s="21">
        <f t="shared" si="12"/>
        <v>0.25197765912374348</v>
      </c>
      <c r="Q8" s="22">
        <f t="shared" si="13"/>
        <v>274.47802176116568</v>
      </c>
      <c r="R8" s="12"/>
      <c r="S8" s="1">
        <v>20</v>
      </c>
      <c r="T8" s="21">
        <f t="shared" si="14"/>
        <v>3.3349951862224794E-2</v>
      </c>
      <c r="U8" s="21">
        <f t="shared" si="15"/>
        <v>-164.28687122173412</v>
      </c>
      <c r="V8" s="21">
        <f t="shared" si="16"/>
        <v>76.433874667826402</v>
      </c>
      <c r="W8" s="21">
        <f t="shared" si="17"/>
        <v>-9.8838923044197919</v>
      </c>
      <c r="X8" s="21">
        <f t="shared" si="18"/>
        <v>-13.896742030172813</v>
      </c>
      <c r="Y8" s="25">
        <f t="shared" si="19"/>
        <v>-111.6002809366381</v>
      </c>
    </row>
    <row r="9" spans="1:25" x14ac:dyDescent="0.25">
      <c r="A9" s="15">
        <v>25</v>
      </c>
      <c r="B9" s="21">
        <f t="shared" si="0"/>
        <v>35.975408799529134</v>
      </c>
      <c r="C9" s="21">
        <f t="shared" si="1"/>
        <v>280.81389839199579</v>
      </c>
      <c r="D9" s="21">
        <f t="shared" si="2"/>
        <v>-58.79731675926655</v>
      </c>
      <c r="E9" s="21">
        <f t="shared" si="3"/>
        <v>-105.09657766826128</v>
      </c>
      <c r="F9" s="21">
        <f t="shared" si="4"/>
        <v>-25.449732707721893</v>
      </c>
      <c r="G9" s="21">
        <f t="shared" si="5"/>
        <v>-0.17907720747806327</v>
      </c>
      <c r="H9" s="22">
        <f t="shared" si="6"/>
        <v>127.26660284879716</v>
      </c>
      <c r="I9" s="12"/>
      <c r="J9" s="1">
        <v>25</v>
      </c>
      <c r="K9" s="21">
        <f t="shared" si="7"/>
        <v>-26.675724692502865</v>
      </c>
      <c r="L9" s="21">
        <f t="shared" si="8"/>
        <v>42.190729519316271</v>
      </c>
      <c r="M9" s="21">
        <f t="shared" si="9"/>
        <v>52.574876207915111</v>
      </c>
      <c r="N9" s="21">
        <f t="shared" si="10"/>
        <v>195.34387466782641</v>
      </c>
      <c r="O9" s="21">
        <f t="shared" si="11"/>
        <v>34.455757224870382</v>
      </c>
      <c r="P9" s="21">
        <f t="shared" si="12"/>
        <v>0.24302554853747754</v>
      </c>
      <c r="Q9" s="22">
        <f t="shared" si="13"/>
        <v>297.88951292742536</v>
      </c>
      <c r="R9" s="12"/>
      <c r="S9" s="1">
        <v>25</v>
      </c>
      <c r="T9" s="21">
        <f t="shared" si="14"/>
        <v>4.1208972512852764E-2</v>
      </c>
      <c r="U9" s="21">
        <f t="shared" si="15"/>
        <v>-195.789468994564</v>
      </c>
      <c r="V9" s="21">
        <f t="shared" si="16"/>
        <v>91.090344731277696</v>
      </c>
      <c r="W9" s="21">
        <f t="shared" si="17"/>
        <v>-12.150954053206783</v>
      </c>
      <c r="X9" s="21">
        <f t="shared" si="18"/>
        <v>-16.81563597523105</v>
      </c>
      <c r="Y9" s="25">
        <f t="shared" si="19"/>
        <v>-133.62450531921129</v>
      </c>
    </row>
    <row r="10" spans="1:25" x14ac:dyDescent="0.25">
      <c r="A10" s="15">
        <v>30</v>
      </c>
      <c r="B10" s="21">
        <f t="shared" si="0"/>
        <v>30.292284378680936</v>
      </c>
      <c r="C10" s="21">
        <f t="shared" si="1"/>
        <v>224.6318189477013</v>
      </c>
      <c r="D10" s="21">
        <f t="shared" si="2"/>
        <v>-52.371173573002963</v>
      </c>
      <c r="E10" s="21">
        <f t="shared" si="3"/>
        <v>-81.750625000000042</v>
      </c>
      <c r="F10" s="21">
        <f t="shared" si="4"/>
        <v>-21.242235218993759</v>
      </c>
      <c r="G10" s="21">
        <f t="shared" si="5"/>
        <v>-0.1493725826560087</v>
      </c>
      <c r="H10" s="22">
        <f t="shared" si="6"/>
        <v>99.410696951729449</v>
      </c>
      <c r="I10" s="12"/>
      <c r="J10" s="1">
        <v>30</v>
      </c>
      <c r="K10" s="21">
        <f t="shared" si="7"/>
        <v>-16.99425902775355</v>
      </c>
      <c r="L10" s="21">
        <f t="shared" si="8"/>
        <v>80.86776220083587</v>
      </c>
      <c r="M10" s="21">
        <f t="shared" si="9"/>
        <v>50.238096867455624</v>
      </c>
      <c r="N10" s="21">
        <f t="shared" si="10"/>
        <v>178.36500000000004</v>
      </c>
      <c r="O10" s="21">
        <f t="shared" si="11"/>
        <v>32.681437689831391</v>
      </c>
      <c r="P10" s="21">
        <f t="shared" si="12"/>
        <v>0.23222386678400317</v>
      </c>
      <c r="Q10" s="22">
        <f t="shared" si="13"/>
        <v>325.15803773036936</v>
      </c>
      <c r="R10" s="12"/>
      <c r="S10" s="1">
        <v>30</v>
      </c>
      <c r="T10" s="21">
        <f t="shared" si="14"/>
        <v>4.8754367999999999E-2</v>
      </c>
      <c r="U10" s="21">
        <f t="shared" si="15"/>
        <v>-221.34310282624571</v>
      </c>
      <c r="V10" s="21">
        <f t="shared" si="16"/>
        <v>102.97908076400761</v>
      </c>
      <c r="W10" s="21">
        <f t="shared" si="17"/>
        <v>-14.24432632604903</v>
      </c>
      <c r="X10" s="21">
        <f t="shared" si="18"/>
        <v>-19.374517700707202</v>
      </c>
      <c r="Y10" s="25">
        <f t="shared" si="19"/>
        <v>-151.93411172099434</v>
      </c>
    </row>
    <row r="11" spans="1:25" x14ac:dyDescent="0.25">
      <c r="A11" s="15">
        <v>35</v>
      </c>
      <c r="B11" s="21">
        <f t="shared" si="0"/>
        <v>23.826447950269106</v>
      </c>
      <c r="C11" s="21">
        <f t="shared" si="1"/>
        <v>162.12864227103819</v>
      </c>
      <c r="D11" s="21">
        <f t="shared" si="2"/>
        <v>-44.893589194416954</v>
      </c>
      <c r="E11" s="21">
        <f t="shared" si="3"/>
        <v>-55.920720958925983</v>
      </c>
      <c r="F11" s="21">
        <f t="shared" si="4"/>
        <v>-16.394278920604915</v>
      </c>
      <c r="G11" s="21">
        <f t="shared" si="5"/>
        <v>-0.11480770725516935</v>
      </c>
      <c r="H11" s="22">
        <f t="shared" si="6"/>
        <v>68.631693440104272</v>
      </c>
      <c r="I11" s="12"/>
      <c r="J11" s="1">
        <v>35</v>
      </c>
      <c r="K11" s="21">
        <f t="shared" si="7"/>
        <v>-5.8758754712975545</v>
      </c>
      <c r="L11" s="21">
        <f t="shared" si="8"/>
        <v>123.78483091731329</v>
      </c>
      <c r="M11" s="21">
        <f t="shared" si="9"/>
        <v>47.518975275242532</v>
      </c>
      <c r="N11" s="21">
        <f t="shared" si="10"/>
        <v>159.57961524285528</v>
      </c>
      <c r="O11" s="21">
        <f t="shared" si="11"/>
        <v>30.542912164557755</v>
      </c>
      <c r="P11" s="21">
        <f t="shared" si="12"/>
        <v>0.21965482118369795</v>
      </c>
      <c r="Q11" s="22">
        <f t="shared" si="13"/>
        <v>355.55045812867132</v>
      </c>
      <c r="R11" s="12"/>
      <c r="S11" s="1">
        <v>35</v>
      </c>
      <c r="T11" s="21">
        <f t="shared" si="14"/>
        <v>5.5928713307974956E-2</v>
      </c>
      <c r="U11" s="21">
        <f t="shared" si="15"/>
        <v>-240.17133848356639</v>
      </c>
      <c r="V11" s="21">
        <f t="shared" si="16"/>
        <v>111.73884953765237</v>
      </c>
      <c r="W11" s="21">
        <f t="shared" si="17"/>
        <v>-16.097304503663651</v>
      </c>
      <c r="X11" s="21">
        <f t="shared" si="18"/>
        <v>-21.51142676544017</v>
      </c>
      <c r="Y11" s="25">
        <f t="shared" si="19"/>
        <v>-165.98529150170987</v>
      </c>
    </row>
    <row r="12" spans="1:25" x14ac:dyDescent="0.25">
      <c r="A12" s="15">
        <v>40</v>
      </c>
      <c r="B12" s="21">
        <f t="shared" si="0"/>
        <v>16.697880871742925</v>
      </c>
      <c r="C12" s="21">
        <f t="shared" si="1"/>
        <v>95.044433471209146</v>
      </c>
      <c r="D12" s="21">
        <f t="shared" si="2"/>
        <v>-36.421472555718474</v>
      </c>
      <c r="E12" s="21">
        <f t="shared" si="3"/>
        <v>-28.391694108765186</v>
      </c>
      <c r="F12" s="21">
        <f t="shared" si="4"/>
        <v>-10.984675772782538</v>
      </c>
      <c r="G12" s="21">
        <f t="shared" si="5"/>
        <v>-7.5645640848188034E-2</v>
      </c>
      <c r="H12" s="22">
        <f t="shared" si="6"/>
        <v>35.868826264837693</v>
      </c>
      <c r="I12" s="12"/>
      <c r="J12" s="1">
        <v>40</v>
      </c>
      <c r="K12" s="21">
        <f t="shared" si="7"/>
        <v>6.5240359264866443</v>
      </c>
      <c r="L12" s="21">
        <f t="shared" si="8"/>
        <v>169.69576308415</v>
      </c>
      <c r="M12" s="21">
        <f t="shared" si="9"/>
        <v>44.438205588443083</v>
      </c>
      <c r="N12" s="21">
        <f t="shared" si="10"/>
        <v>139.55850480637469</v>
      </c>
      <c r="O12" s="21">
        <f t="shared" si="11"/>
        <v>28.046693015906712</v>
      </c>
      <c r="P12" s="21">
        <f t="shared" si="12"/>
        <v>0.20541406976297749</v>
      </c>
      <c r="Q12" s="22">
        <f t="shared" si="13"/>
        <v>388.26320242136114</v>
      </c>
      <c r="R12" s="12"/>
      <c r="S12" s="1">
        <v>40</v>
      </c>
      <c r="T12" s="21">
        <f t="shared" si="14"/>
        <v>6.2677407336995797E-2</v>
      </c>
      <c r="U12" s="21">
        <f t="shared" si="15"/>
        <v>-251.70208955362514</v>
      </c>
      <c r="V12" s="21">
        <f t="shared" si="16"/>
        <v>117.10348991068165</v>
      </c>
      <c r="W12" s="21">
        <f t="shared" si="17"/>
        <v>-17.632536030732201</v>
      </c>
      <c r="X12" s="21">
        <f t="shared" si="18"/>
        <v>-23.169703464686386</v>
      </c>
      <c r="Y12" s="25">
        <f t="shared" si="19"/>
        <v>-175.33816173102511</v>
      </c>
    </row>
    <row r="13" spans="1:25" x14ac:dyDescent="0.25">
      <c r="A13" s="15">
        <v>45</v>
      </c>
      <c r="B13" s="21">
        <f t="shared" si="0"/>
        <v>9.0410211433570478</v>
      </c>
      <c r="C13" s="21">
        <f t="shared" si="1"/>
        <v>25.237294428355767</v>
      </c>
      <c r="D13" s="21">
        <f t="shared" si="2"/>
        <v>-27.019301580131902</v>
      </c>
      <c r="E13" s="21">
        <f t="shared" si="3"/>
        <v>-3.6304570460998775E-14</v>
      </c>
      <c r="F13" s="21">
        <f t="shared" si="4"/>
        <v>-5.1139164496939182</v>
      </c>
      <c r="G13" s="21">
        <f t="shared" si="5"/>
        <v>-3.2184430407124341E-2</v>
      </c>
      <c r="H13" s="22">
        <f t="shared" si="6"/>
        <v>2.1129131114798358</v>
      </c>
      <c r="I13" s="12"/>
      <c r="J13" s="1">
        <v>45</v>
      </c>
      <c r="K13" s="21">
        <f t="shared" si="7"/>
        <v>20.030919052150093</v>
      </c>
      <c r="L13" s="21">
        <f t="shared" si="8"/>
        <v>217.27111202605241</v>
      </c>
      <c r="M13" s="21">
        <f t="shared" si="9"/>
        <v>41.019234324593427</v>
      </c>
      <c r="N13" s="21">
        <f t="shared" si="10"/>
        <v>118.91000000000004</v>
      </c>
      <c r="O13" s="21">
        <f t="shared" si="11"/>
        <v>25.217415308566213</v>
      </c>
      <c r="P13" s="21">
        <f t="shared" si="12"/>
        <v>0.18960999323895431</v>
      </c>
      <c r="Q13" s="22">
        <f t="shared" si="13"/>
        <v>422.44868071136216</v>
      </c>
      <c r="R13" s="12"/>
      <c r="S13" s="1">
        <v>45</v>
      </c>
      <c r="T13" s="21">
        <f t="shared" si="14"/>
        <v>6.8949088450528828E-2</v>
      </c>
      <c r="U13" s="21">
        <f t="shared" si="15"/>
        <v>-255.58499999999998</v>
      </c>
      <c r="V13" s="21">
        <f t="shared" si="16"/>
        <v>118.91000000000003</v>
      </c>
      <c r="W13" s="21">
        <f t="shared" si="17"/>
        <v>-18.765095812671955</v>
      </c>
      <c r="X13" s="21">
        <f t="shared" si="18"/>
        <v>-24.298727486719514</v>
      </c>
      <c r="Y13" s="25">
        <f t="shared" si="19"/>
        <v>-179.66987421094089</v>
      </c>
    </row>
    <row r="14" spans="1:25" x14ac:dyDescent="0.25">
      <c r="A14" s="15">
        <v>50</v>
      </c>
      <c r="B14" s="21">
        <f t="shared" si="0"/>
        <v>1.0031299952602217</v>
      </c>
      <c r="C14" s="21">
        <f t="shared" si="1"/>
        <v>-45.371722125107276</v>
      </c>
      <c r="D14" s="21">
        <f t="shared" si="2"/>
        <v>-16.758632465967519</v>
      </c>
      <c r="E14" s="21">
        <f t="shared" si="3"/>
        <v>28.391694108765186</v>
      </c>
      <c r="F14" s="21">
        <f t="shared" si="4"/>
        <v>1.0945483528465358</v>
      </c>
      <c r="G14" s="21">
        <f t="shared" si="5"/>
        <v>1.5245107934818649E-2</v>
      </c>
      <c r="H14" s="22">
        <f t="shared" si="6"/>
        <v>-31.625737026268023</v>
      </c>
      <c r="I14" s="12"/>
      <c r="J14" s="1">
        <v>50</v>
      </c>
      <c r="K14" s="21">
        <f t="shared" si="7"/>
        <v>34.452990465150073</v>
      </c>
      <c r="L14" s="21">
        <f t="shared" si="8"/>
        <v>265.13805278999473</v>
      </c>
      <c r="M14" s="21">
        <f t="shared" si="9"/>
        <v>37.288081919442739</v>
      </c>
      <c r="N14" s="21">
        <f t="shared" si="10"/>
        <v>98.261495193625322</v>
      </c>
      <c r="O14" s="21">
        <f t="shared" si="11"/>
        <v>22.101693276978548</v>
      </c>
      <c r="P14" s="21">
        <f t="shared" si="12"/>
        <v>0.17091558892500094</v>
      </c>
      <c r="Q14" s="22">
        <f t="shared" si="13"/>
        <v>457.24231364519142</v>
      </c>
      <c r="R14" s="12"/>
      <c r="S14" s="1">
        <v>50</v>
      </c>
      <c r="T14" s="21">
        <f t="shared" si="14"/>
        <v>0.20368926713172508</v>
      </c>
      <c r="U14" s="21">
        <f t="shared" si="15"/>
        <v>-251.70208955362517</v>
      </c>
      <c r="V14" s="21">
        <f t="shared" si="16"/>
        <v>117.10348991068167</v>
      </c>
      <c r="W14" s="21">
        <f t="shared" si="17"/>
        <v>-19.407009143526015</v>
      </c>
      <c r="X14" s="21">
        <f t="shared" si="18"/>
        <v>-24.854592365579364</v>
      </c>
      <c r="Y14" s="25">
        <f t="shared" si="19"/>
        <v>-178.65651188491717</v>
      </c>
    </row>
    <row r="15" spans="1:25" x14ac:dyDescent="0.25">
      <c r="A15" s="15">
        <v>55</v>
      </c>
      <c r="B15" s="21">
        <f t="shared" si="0"/>
        <v>-7.257506111068901</v>
      </c>
      <c r="C15" s="21">
        <f t="shared" si="1"/>
        <v>-114.85546068472217</v>
      </c>
      <c r="D15" s="21">
        <f t="shared" si="2"/>
        <v>-5.7175551007455105</v>
      </c>
      <c r="E15" s="21">
        <f t="shared" si="3"/>
        <v>55.920720958925962</v>
      </c>
      <c r="F15" s="21">
        <f t="shared" si="4"/>
        <v>7.4943360592135662</v>
      </c>
      <c r="G15" s="21">
        <f t="shared" si="5"/>
        <v>6.5236225342617818E-2</v>
      </c>
      <c r="H15" s="22">
        <f t="shared" si="6"/>
        <v>-64.350228653054458</v>
      </c>
      <c r="I15" s="12"/>
      <c r="J15" s="1">
        <v>55</v>
      </c>
      <c r="K15" s="21">
        <f t="shared" si="7"/>
        <v>49.583376237318582</v>
      </c>
      <c r="L15" s="21">
        <f t="shared" si="8"/>
        <v>311.92154123311718</v>
      </c>
      <c r="M15" s="21">
        <f t="shared" si="9"/>
        <v>33.273144695725641</v>
      </c>
      <c r="N15" s="21">
        <f t="shared" si="10"/>
        <v>78.240384757144767</v>
      </c>
      <c r="O15" s="21">
        <f t="shared" si="11"/>
        <v>18.770623182120712</v>
      </c>
      <c r="P15" s="21">
        <f t="shared" si="12"/>
        <v>0.14830062358954113</v>
      </c>
      <c r="Q15" s="22">
        <f t="shared" si="13"/>
        <v>491.7890701054269</v>
      </c>
      <c r="R15" s="12"/>
      <c r="S15" s="1">
        <v>55</v>
      </c>
      <c r="T15" s="21">
        <f t="shared" si="14"/>
        <v>0.21179523997801569</v>
      </c>
      <c r="U15" s="21">
        <f t="shared" si="15"/>
        <v>-240.17133848356642</v>
      </c>
      <c r="V15" s="21">
        <f t="shared" si="16"/>
        <v>111.73884953765238</v>
      </c>
      <c r="W15" s="21">
        <f t="shared" si="17"/>
        <v>-19.472957600676157</v>
      </c>
      <c r="X15" s="21">
        <f t="shared" si="18"/>
        <v>-24.800708395978354</v>
      </c>
      <c r="Y15" s="25">
        <f t="shared" si="19"/>
        <v>-172.49435970259051</v>
      </c>
    </row>
    <row r="16" spans="1:25" x14ac:dyDescent="0.25">
      <c r="A16" s="15">
        <v>60</v>
      </c>
      <c r="B16" s="21">
        <f t="shared" si="0"/>
        <v>-15.573519228889589</v>
      </c>
      <c r="C16" s="21">
        <f t="shared" si="1"/>
        <v>-181.33755749999989</v>
      </c>
      <c r="D16" s="21">
        <f t="shared" si="2"/>
        <v>6.0199012499999842</v>
      </c>
      <c r="E16" s="21">
        <f t="shared" si="3"/>
        <v>81.750624999999957</v>
      </c>
      <c r="F16" s="21">
        <f t="shared" si="4"/>
        <v>13.917722499999989</v>
      </c>
      <c r="G16" s="21">
        <f t="shared" si="5"/>
        <v>0.1162890691874999</v>
      </c>
      <c r="H16" s="22">
        <f t="shared" si="6"/>
        <v>-95.106538909702039</v>
      </c>
      <c r="I16" s="12"/>
      <c r="J16" s="1">
        <v>60</v>
      </c>
      <c r="K16" s="21">
        <f t="shared" si="7"/>
        <v>65.20242547888958</v>
      </c>
      <c r="L16" s="21">
        <f t="shared" si="8"/>
        <v>356.28548999999987</v>
      </c>
      <c r="M16" s="21">
        <f t="shared" si="9"/>
        <v>29.004978750000006</v>
      </c>
      <c r="N16" s="21">
        <f t="shared" si="10"/>
        <v>59.455000000000034</v>
      </c>
      <c r="O16" s="21">
        <f t="shared" si="11"/>
        <v>15.320580000000007</v>
      </c>
      <c r="P16" s="21">
        <f t="shared" si="12"/>
        <v>0.12255722325000008</v>
      </c>
      <c r="Q16" s="22">
        <f t="shared" si="13"/>
        <v>525.26847422888954</v>
      </c>
      <c r="R16" s="12"/>
      <c r="S16" s="1">
        <v>60</v>
      </c>
      <c r="T16" s="21">
        <f t="shared" si="14"/>
        <v>0.21227533750356173</v>
      </c>
      <c r="U16" s="21">
        <f t="shared" si="15"/>
        <v>-221.34310282624577</v>
      </c>
      <c r="V16" s="21">
        <f t="shared" si="16"/>
        <v>102.97908076400763</v>
      </c>
      <c r="W16" s="21">
        <f t="shared" si="17"/>
        <v>-18.886792725150336</v>
      </c>
      <c r="X16" s="21">
        <f t="shared" si="18"/>
        <v>-24.108327376391866</v>
      </c>
      <c r="Y16" s="25">
        <f t="shared" si="19"/>
        <v>-161.14686682627675</v>
      </c>
    </row>
    <row r="17" spans="1:25" x14ac:dyDescent="0.25">
      <c r="A17" s="15">
        <v>65</v>
      </c>
      <c r="B17" s="21">
        <f t="shared" si="0"/>
        <v>-23.770529001764302</v>
      </c>
      <c r="C17" s="21">
        <f t="shared" si="1"/>
        <v>-243.04766547694535</v>
      </c>
      <c r="D17" s="21">
        <f t="shared" si="2"/>
        <v>18.364407456169918</v>
      </c>
      <c r="E17" s="21">
        <f t="shared" si="3"/>
        <v>105.09657766826128</v>
      </c>
      <c r="F17" s="21">
        <f t="shared" si="4"/>
        <v>20.178940584103835</v>
      </c>
      <c r="G17" s="21">
        <f t="shared" si="5"/>
        <v>0.16639282610015427</v>
      </c>
      <c r="H17" s="22">
        <f t="shared" si="6"/>
        <v>-123.01187594407446</v>
      </c>
      <c r="I17" s="12"/>
      <c r="J17" s="1">
        <v>65</v>
      </c>
      <c r="K17" s="21">
        <f t="shared" si="7"/>
        <v>81.080177318830025</v>
      </c>
      <c r="L17" s="21">
        <f t="shared" si="8"/>
        <v>396.97271487521078</v>
      </c>
      <c r="M17" s="21">
        <f t="shared" si="9"/>
        <v>24.51606740230185</v>
      </c>
      <c r="N17" s="21">
        <f t="shared" si="10"/>
        <v>42.476125332173616</v>
      </c>
      <c r="O17" s="21">
        <f t="shared" si="11"/>
        <v>11.87207194863832</v>
      </c>
      <c r="P17" s="21">
        <f t="shared" si="12"/>
        <v>9.4968968327708736E-2</v>
      </c>
      <c r="Q17" s="22">
        <f t="shared" si="13"/>
        <v>556.91715687715464</v>
      </c>
      <c r="R17" s="12"/>
      <c r="S17" s="1">
        <v>65</v>
      </c>
      <c r="T17" s="21">
        <f t="shared" si="14"/>
        <v>0.20366160981242454</v>
      </c>
      <c r="U17" s="21">
        <f t="shared" si="15"/>
        <v>-195.78946899456398</v>
      </c>
      <c r="V17" s="21">
        <f t="shared" si="16"/>
        <v>91.090344731277682</v>
      </c>
      <c r="W17" s="21">
        <f t="shared" si="17"/>
        <v>-17.588396805032048</v>
      </c>
      <c r="X17" s="21">
        <f t="shared" si="18"/>
        <v>-22.756983312431764</v>
      </c>
      <c r="Y17" s="25">
        <f t="shared" si="19"/>
        <v>-144.84084277093768</v>
      </c>
    </row>
    <row r="18" spans="1:25" x14ac:dyDescent="0.25">
      <c r="A18" s="15">
        <v>70</v>
      </c>
      <c r="B18" s="21">
        <f t="shared" si="0"/>
        <v>-31.669315268959785</v>
      </c>
      <c r="C18" s="21">
        <f t="shared" si="1"/>
        <v>-298.37334508003283</v>
      </c>
      <c r="D18" s="21">
        <f t="shared" si="2"/>
        <v>31.222014371718622</v>
      </c>
      <c r="E18" s="21">
        <f t="shared" si="3"/>
        <v>125.24922400550679</v>
      </c>
      <c r="F18" s="21">
        <f t="shared" si="4"/>
        <v>26.079209444692349</v>
      </c>
      <c r="G18" s="21">
        <f t="shared" si="5"/>
        <v>0.21321732415661865</v>
      </c>
      <c r="H18" s="22">
        <f t="shared" si="6"/>
        <v>-147.27899520291825</v>
      </c>
      <c r="I18" s="12"/>
      <c r="J18" s="1">
        <v>70</v>
      </c>
      <c r="K18" s="21">
        <f t="shared" si="7"/>
        <v>96.978956511517424</v>
      </c>
      <c r="L18" s="21">
        <f t="shared" si="8"/>
        <v>432.84244270820301</v>
      </c>
      <c r="M18" s="21">
        <f t="shared" si="9"/>
        <v>19.840573978465958</v>
      </c>
      <c r="N18" s="21">
        <f t="shared" si="10"/>
        <v>27.81965526872234</v>
      </c>
      <c r="O18" s="21">
        <f t="shared" si="11"/>
        <v>8.5665551018700103</v>
      </c>
      <c r="P18" s="21">
        <f t="shared" si="12"/>
        <v>6.7255344486945451E-2</v>
      </c>
      <c r="Q18" s="22">
        <f t="shared" si="13"/>
        <v>586.04818356877877</v>
      </c>
      <c r="R18" s="12"/>
      <c r="S18" s="1">
        <v>70</v>
      </c>
      <c r="T18" s="21">
        <f t="shared" si="14"/>
        <v>0.1847825403155246</v>
      </c>
      <c r="U18" s="21">
        <f t="shared" si="15"/>
        <v>-164.28687122173417</v>
      </c>
      <c r="V18" s="21">
        <f t="shared" si="16"/>
        <v>76.433874667826416</v>
      </c>
      <c r="W18" s="21">
        <f t="shared" si="17"/>
        <v>-15.54037644902249</v>
      </c>
      <c r="X18" s="21">
        <f t="shared" si="18"/>
        <v>-20.734844037598535</v>
      </c>
      <c r="Y18" s="25">
        <f t="shared" si="19"/>
        <v>-123.94343450021326</v>
      </c>
    </row>
    <row r="19" spans="1:25" x14ac:dyDescent="0.25">
      <c r="A19" s="15">
        <v>75</v>
      </c>
      <c r="B19" s="21">
        <f t="shared" si="0"/>
        <v>-39.088071231342013</v>
      </c>
      <c r="C19" s="21">
        <f t="shared" si="1"/>
        <v>-345.90705901649426</v>
      </c>
      <c r="D19" s="21">
        <f t="shared" si="2"/>
        <v>44.494867844383521</v>
      </c>
      <c r="E19" s="21">
        <f t="shared" si="3"/>
        <v>141.59623605051047</v>
      </c>
      <c r="F19" s="21">
        <f t="shared" si="4"/>
        <v>31.413382987430243</v>
      </c>
      <c r="G19" s="21">
        <f t="shared" si="5"/>
        <v>0.25419955425015445</v>
      </c>
      <c r="H19" s="22">
        <f t="shared" si="6"/>
        <v>-167.23644381126189</v>
      </c>
      <c r="I19" s="12"/>
      <c r="J19" s="1">
        <v>75</v>
      </c>
      <c r="K19" s="21">
        <f t="shared" si="7"/>
        <v>112.65607148112697</v>
      </c>
      <c r="L19" s="21">
        <f t="shared" si="8"/>
        <v>462.90424651002991</v>
      </c>
      <c r="M19" s="21">
        <f t="shared" si="9"/>
        <v>15.014081806587811</v>
      </c>
      <c r="N19" s="21">
        <f t="shared" si="10"/>
        <v>15.930919235992398</v>
      </c>
      <c r="O19" s="21">
        <f t="shared" si="11"/>
        <v>5.561260667623948</v>
      </c>
      <c r="P19" s="21">
        <f t="shared" si="12"/>
        <v>4.1502347539940768E-2</v>
      </c>
      <c r="Q19" s="22">
        <f t="shared" si="13"/>
        <v>612.06657970136109</v>
      </c>
      <c r="R19" s="12"/>
      <c r="S19" s="1">
        <v>75</v>
      </c>
      <c r="T19" s="21">
        <f t="shared" si="14"/>
        <v>0.15488886965244011</v>
      </c>
      <c r="U19" s="21">
        <f t="shared" si="15"/>
        <v>-127.79249999999998</v>
      </c>
      <c r="V19" s="21">
        <f t="shared" si="16"/>
        <v>59.454999999999998</v>
      </c>
      <c r="W19" s="21">
        <f t="shared" si="17"/>
        <v>-12.734057446549672</v>
      </c>
      <c r="X19" s="21">
        <f t="shared" si="18"/>
        <v>-18.038969584736339</v>
      </c>
      <c r="Y19" s="25">
        <f t="shared" si="19"/>
        <v>-98.955638161633544</v>
      </c>
    </row>
    <row r="20" spans="1:25" x14ac:dyDescent="0.25">
      <c r="A20" s="15">
        <v>80</v>
      </c>
      <c r="B20" s="21">
        <f t="shared" si="0"/>
        <v>-45.844713262520976</v>
      </c>
      <c r="C20" s="21">
        <f t="shared" si="1"/>
        <v>-384.48685800281532</v>
      </c>
      <c r="D20" s="21">
        <f t="shared" si="2"/>
        <v>58.081953444869526</v>
      </c>
      <c r="E20" s="21">
        <f t="shared" si="3"/>
        <v>153.64091811427198</v>
      </c>
      <c r="F20" s="21">
        <f t="shared" si="4"/>
        <v>35.977974141992775</v>
      </c>
      <c r="G20" s="21">
        <f t="shared" si="5"/>
        <v>0.28665828904103346</v>
      </c>
      <c r="H20" s="22">
        <f t="shared" si="6"/>
        <v>-182.34406727516102</v>
      </c>
      <c r="I20" s="12"/>
      <c r="J20" s="1">
        <v>80</v>
      </c>
      <c r="K20" s="21">
        <f t="shared" si="7"/>
        <v>127.86658750269009</v>
      </c>
      <c r="L20" s="21">
        <f t="shared" si="8"/>
        <v>486.34738215189782</v>
      </c>
      <c r="M20" s="21">
        <f t="shared" si="9"/>
        <v>10.073323406411083</v>
      </c>
      <c r="N20" s="21">
        <f t="shared" si="10"/>
        <v>7.1711504623476401</v>
      </c>
      <c r="O20" s="21">
        <f t="shared" si="11"/>
        <v>3.0222393423856677</v>
      </c>
      <c r="P20" s="21">
        <f t="shared" si="12"/>
        <v>2.0059018012387068E-2</v>
      </c>
      <c r="Q20" s="22">
        <f t="shared" si="13"/>
        <v>634.48068286573232</v>
      </c>
      <c r="R20" s="12"/>
      <c r="S20" s="1">
        <v>80</v>
      </c>
      <c r="T20" s="21">
        <f t="shared" si="14"/>
        <v>0.11376034417303492</v>
      </c>
      <c r="U20" s="21">
        <f t="shared" si="15"/>
        <v>-87.415218331891069</v>
      </c>
      <c r="V20" s="21">
        <f t="shared" si="16"/>
        <v>40.669615242855286</v>
      </c>
      <c r="W20" s="21">
        <f t="shared" si="17"/>
        <v>-9.1942707036345386</v>
      </c>
      <c r="X20" s="21">
        <f t="shared" si="18"/>
        <v>-14.675474060799825</v>
      </c>
      <c r="Y20" s="25">
        <f t="shared" si="19"/>
        <v>-70.50158750929711</v>
      </c>
    </row>
    <row r="21" spans="1:25" x14ac:dyDescent="0.25">
      <c r="A21" s="15">
        <v>85</v>
      </c>
      <c r="B21" s="21">
        <f t="shared" si="0"/>
        <v>-51.759222737615865</v>
      </c>
      <c r="C21" s="21">
        <f t="shared" si="1"/>
        <v>-413.22953723881125</v>
      </c>
      <c r="D21" s="21">
        <f t="shared" si="2"/>
        <v>71.8798652476504</v>
      </c>
      <c r="E21" s="21">
        <f t="shared" si="3"/>
        <v>161.01729862718727</v>
      </c>
      <c r="F21" s="21">
        <f t="shared" si="4"/>
        <v>39.580188737596316</v>
      </c>
      <c r="G21" s="21">
        <f t="shared" si="5"/>
        <v>0.30793112461936117</v>
      </c>
      <c r="H21" s="32">
        <f t="shared" si="6"/>
        <v>-192.20347623937374</v>
      </c>
      <c r="I21" s="12"/>
      <c r="J21" s="1">
        <v>85</v>
      </c>
      <c r="K21" s="21">
        <f t="shared" si="7"/>
        <v>142.36614686567057</v>
      </c>
      <c r="L21" s="21">
        <f t="shared" si="8"/>
        <v>502.56464104547121</v>
      </c>
      <c r="M21" s="21">
        <f t="shared" si="9"/>
        <v>5.0559009326725821</v>
      </c>
      <c r="N21" s="21">
        <f t="shared" si="10"/>
        <v>1.8065100893183383</v>
      </c>
      <c r="O21" s="21">
        <f t="shared" si="11"/>
        <v>1.1159696513102013</v>
      </c>
      <c r="P21" s="21">
        <f t="shared" si="12"/>
        <v>5.4054406336981695E-3</v>
      </c>
      <c r="Q21" s="28">
        <f t="shared" si="13"/>
        <v>652.90916858444291</v>
      </c>
      <c r="R21" s="12"/>
      <c r="S21" s="1">
        <v>85</v>
      </c>
      <c r="T21" s="21">
        <f t="shared" si="14"/>
        <v>6.178446916264152E-2</v>
      </c>
      <c r="U21" s="21">
        <f t="shared" si="15"/>
        <v>-44.381869489002369</v>
      </c>
      <c r="V21" s="21">
        <f t="shared" si="16"/>
        <v>20.648504806374682</v>
      </c>
      <c r="W21" s="21">
        <f t="shared" si="17"/>
        <v>-4.9824781725613985</v>
      </c>
      <c r="X21" s="21">
        <f t="shared" si="18"/>
        <v>-10.659588731289849</v>
      </c>
      <c r="Y21" s="25">
        <f t="shared" si="19"/>
        <v>-39.3136471173163</v>
      </c>
    </row>
    <row r="22" spans="1:25" x14ac:dyDescent="0.25">
      <c r="A22" s="15">
        <v>90</v>
      </c>
      <c r="B22" s="21">
        <f t="shared" si="0"/>
        <v>-56.655994780696567</v>
      </c>
      <c r="C22" s="21">
        <f t="shared" si="1"/>
        <v>-431.5552725</v>
      </c>
      <c r="D22" s="21">
        <f t="shared" si="2"/>
        <v>85.78359281249999</v>
      </c>
      <c r="E22" s="21">
        <f t="shared" si="3"/>
        <v>163.50125</v>
      </c>
      <c r="F22" s="21">
        <f t="shared" si="4"/>
        <v>42.047499999999999</v>
      </c>
      <c r="G22" s="21">
        <f t="shared" si="5"/>
        <v>0.31552631549999999</v>
      </c>
      <c r="H22" s="22">
        <f t="shared" si="6"/>
        <v>-196.56339815269661</v>
      </c>
      <c r="I22" s="12"/>
      <c r="J22" s="1">
        <v>90</v>
      </c>
      <c r="K22" s="21">
        <f t="shared" si="7"/>
        <v>155.91380728069657</v>
      </c>
      <c r="L22" s="21">
        <f t="shared" si="8"/>
        <v>511.16999999999996</v>
      </c>
      <c r="M22" s="21">
        <f t="shared" si="9"/>
        <v>3.5535404900219852E-15</v>
      </c>
      <c r="N22" s="21">
        <f t="shared" si="10"/>
        <v>8.9241285332470822E-31</v>
      </c>
      <c r="O22" s="21">
        <f t="shared" si="11"/>
        <v>4.720595008639308E-16</v>
      </c>
      <c r="P22" s="21">
        <f t="shared" si="12"/>
        <v>4.6736310848851727E-33</v>
      </c>
      <c r="Q22" s="22">
        <f t="shared" si="13"/>
        <v>667.08380728069653</v>
      </c>
      <c r="R22" s="12"/>
      <c r="S22" s="1">
        <v>90</v>
      </c>
      <c r="T22" s="21">
        <f t="shared" si="14"/>
        <v>4.6453953964770147E-17</v>
      </c>
      <c r="U22" s="21">
        <f t="shared" si="15"/>
        <v>-3.1312956784781963E-14</v>
      </c>
      <c r="V22" s="21">
        <f>$C$2*$F$2*SIN(RADIANS(S22))*COS(RADIANS(S22))</f>
        <v>1.4568240277318402E-14</v>
      </c>
      <c r="W22" s="21">
        <f t="shared" si="17"/>
        <v>-0.19788133936757329</v>
      </c>
      <c r="X22" s="21">
        <f t="shared" si="18"/>
        <v>-6.0156250000000027</v>
      </c>
      <c r="Y22" s="25">
        <f t="shared" si="19"/>
        <v>-6.2135063393675924</v>
      </c>
    </row>
    <row r="23" spans="1:25" x14ac:dyDescent="0.25">
      <c r="A23" s="15">
        <v>95</v>
      </c>
      <c r="B23" s="21">
        <f t="shared" si="0"/>
        <v>-60.366168607040393</v>
      </c>
      <c r="C23" s="21">
        <f>$D$2*$C$2^2*IF(AND(A23&gt;=0, A23&lt;=90),
0.193+0.106*COS(RADIANS(A23))-0.5*SIN(RADIANS(A23))^2,
IF(AND(A23&gt;90, A23&lt;=180),
0.693+0.106*COS(RADIANS(A23))-SIN(RADIANS(A23)),
""))</f>
        <v>-439.19282641220678</v>
      </c>
      <c r="D23" s="21">
        <f t="shared" si="2"/>
        <v>99.676424113324728</v>
      </c>
      <c r="E23" s="21">
        <f t="shared" si="3"/>
        <v>161.01729862718727</v>
      </c>
      <c r="F23" s="21">
        <f t="shared" si="4"/>
        <v>43.237219251965321</v>
      </c>
      <c r="G23" s="21">
        <f t="shared" si="5"/>
        <v>0.30728028458214585</v>
      </c>
      <c r="H23" s="33">
        <f t="shared" si="6"/>
        <v>-195.3207727421877</v>
      </c>
      <c r="I23" s="12"/>
      <c r="J23" s="1">
        <v>95</v>
      </c>
      <c r="K23" s="21">
        <f t="shared" si="7"/>
        <v>168.27486947898566</v>
      </c>
      <c r="L23" s="21">
        <f t="shared" si="8"/>
        <v>513.94729233171154</v>
      </c>
      <c r="M23" s="21">
        <f t="shared" si="9"/>
        <v>-7.1304801692116886</v>
      </c>
      <c r="N23" s="21">
        <f t="shared" si="10"/>
        <v>1.8065100893183423</v>
      </c>
      <c r="O23" s="21">
        <f t="shared" si="11"/>
        <v>-0.18681182553684675</v>
      </c>
      <c r="P23" s="21">
        <f t="shared" si="12"/>
        <v>6.1154479470239735E-3</v>
      </c>
      <c r="Q23" s="22">
        <f>SUM(K23:O23)</f>
        <v>676.71137990526699</v>
      </c>
      <c r="R23" s="12"/>
      <c r="S23" s="1">
        <v>95</v>
      </c>
      <c r="T23" s="21">
        <f t="shared" si="14"/>
        <v>-6.9899889889298475E-2</v>
      </c>
      <c r="U23" s="21">
        <f t="shared" si="15"/>
        <v>44.381869489002419</v>
      </c>
      <c r="V23" s="21">
        <f t="shared" si="16"/>
        <v>-20.648504806374707</v>
      </c>
      <c r="W23" s="21">
        <f t="shared" si="17"/>
        <v>5.0237227895213339</v>
      </c>
      <c r="X23" s="21">
        <f t="shared" si="18"/>
        <v>-0.81444381950587108</v>
      </c>
      <c r="Y23" s="25">
        <f t="shared" si="19"/>
        <v>27.872743762753874</v>
      </c>
    </row>
    <row r="24" spans="1:25" x14ac:dyDescent="0.25">
      <c r="A24" s="15">
        <v>100</v>
      </c>
      <c r="B24" s="21">
        <f t="shared" si="0"/>
        <v>-62.729914160841496</v>
      </c>
      <c r="C24" s="21">
        <f t="shared" si="1"/>
        <v>-436.07389495702699</v>
      </c>
      <c r="D24" s="21">
        <f t="shared" si="2"/>
        <v>113.3115547417971</v>
      </c>
      <c r="E24" s="21">
        <f t="shared" si="3"/>
        <v>153.64091811427201</v>
      </c>
      <c r="F24" s="21">
        <f t="shared" si="4"/>
        <v>43.045476802998174</v>
      </c>
      <c r="G24" s="21">
        <f t="shared" si="5"/>
        <v>0.28151078227329673</v>
      </c>
      <c r="H24" s="22">
        <f t="shared" si="6"/>
        <v>-188.52434867652792</v>
      </c>
      <c r="I24" s="12"/>
      <c r="J24" s="1">
        <v>100</v>
      </c>
      <c r="K24" s="21">
        <f t="shared" si="7"/>
        <v>179.22366492067235</v>
      </c>
      <c r="L24" s="21">
        <f t="shared" si="8"/>
        <v>512.81313543891883</v>
      </c>
      <c r="M24" s="21">
        <f t="shared" si="9"/>
        <v>-18.261178599633798</v>
      </c>
      <c r="N24" s="21">
        <f t="shared" si="10"/>
        <v>7.1711504623476312</v>
      </c>
      <c r="O24" s="21">
        <f t="shared" si="11"/>
        <v>0.66615997034817631</v>
      </c>
      <c r="P24" s="21">
        <f t="shared" si="12"/>
        <v>2.567447994082718E-2</v>
      </c>
      <c r="Q24" s="22">
        <f t="shared" si="13"/>
        <v>681.61293219265326</v>
      </c>
      <c r="R24" s="12"/>
      <c r="S24" s="1">
        <v>100</v>
      </c>
      <c r="T24" s="21">
        <f t="shared" si="14"/>
        <v>-0.14560721131655269</v>
      </c>
      <c r="U24" s="21">
        <f t="shared" si="15"/>
        <v>87.415218331891012</v>
      </c>
      <c r="V24" s="21">
        <f t="shared" si="16"/>
        <v>-40.669615242855258</v>
      </c>
      <c r="W24" s="21">
        <f t="shared" si="17"/>
        <v>10.513430028049916</v>
      </c>
      <c r="X24" s="21">
        <f t="shared" si="18"/>
        <v>4.7156760165072802</v>
      </c>
      <c r="Y24" s="25">
        <f t="shared" si="19"/>
        <v>61.829101922276394</v>
      </c>
    </row>
    <row r="25" spans="1:25" x14ac:dyDescent="0.25">
      <c r="A25" s="15">
        <v>105</v>
      </c>
      <c r="B25" s="21">
        <f t="shared" si="0"/>
        <v>-63.598650023620785</v>
      </c>
      <c r="C25" s="21">
        <f t="shared" si="1"/>
        <v>-422.22221508609709</v>
      </c>
      <c r="D25" s="21">
        <f t="shared" si="2"/>
        <v>126.1986425034717</v>
      </c>
      <c r="E25" s="21">
        <f t="shared" si="3"/>
        <v>141.59623605051044</v>
      </c>
      <c r="F25" s="21">
        <f t="shared" si="4"/>
        <v>41.415023343822149</v>
      </c>
      <c r="G25" s="21">
        <f t="shared" si="5"/>
        <v>0.2371554207204461</v>
      </c>
      <c r="H25" s="22">
        <f t="shared" si="6"/>
        <v>-176.37380779119312</v>
      </c>
      <c r="I25" s="12"/>
      <c r="J25" s="1">
        <v>105</v>
      </c>
      <c r="K25" s="21">
        <f>$B$2*$C$2^2*(RADIANS(J25)*SIN(RADIANS(J25))-0.5*COS(RADIANS(J25)))</f>
        <v>188.54627477383582</v>
      </c>
      <c r="L25" s="21">
        <f t="shared" si="8"/>
        <v>507.77616094039888</v>
      </c>
      <c r="M25" s="21">
        <f t="shared" si="9"/>
        <v>-33.026241688223834</v>
      </c>
      <c r="N25" s="21">
        <f t="shared" si="10"/>
        <v>15.930919235992411</v>
      </c>
      <c r="O25" s="21">
        <f t="shared" si="11"/>
        <v>2.6326256369197849</v>
      </c>
      <c r="P25" s="21">
        <f t="shared" si="12"/>
        <v>6.0095947754168058E-2</v>
      </c>
      <c r="Q25" s="22">
        <f t="shared" si="13"/>
        <v>681.85973889892296</v>
      </c>
      <c r="R25" s="12"/>
      <c r="S25" s="1">
        <v>105</v>
      </c>
      <c r="T25" s="21">
        <f t="shared" si="14"/>
        <v>-0.22428113034756</v>
      </c>
      <c r="U25" s="21">
        <f t="shared" si="15"/>
        <v>127.79250000000003</v>
      </c>
      <c r="V25" s="21">
        <f t="shared" si="16"/>
        <v>-59.455000000000027</v>
      </c>
      <c r="W25" s="21">
        <f t="shared" si="17"/>
        <v>16.074998862871045</v>
      </c>
      <c r="X25" s="21">
        <f t="shared" si="18"/>
        <v>10.308995375390319</v>
      </c>
      <c r="Y25" s="25">
        <f t="shared" si="19"/>
        <v>94.497213107913808</v>
      </c>
    </row>
    <row r="26" spans="1:25" x14ac:dyDescent="0.25">
      <c r="A26" s="15">
        <v>110</v>
      </c>
      <c r="B26" s="21">
        <f t="shared" si="0"/>
        <v>-62.837168091653801</v>
      </c>
      <c r="C26" s="21">
        <f t="shared" si="1"/>
        <v>-397.74320644710775</v>
      </c>
      <c r="D26" s="21">
        <f t="shared" si="2"/>
        <v>137.60838870652978</v>
      </c>
      <c r="E26" s="21">
        <f t="shared" si="3"/>
        <v>125.24922400550682</v>
      </c>
      <c r="F26" s="21">
        <f t="shared" si="4"/>
        <v>38.341297999398094</v>
      </c>
      <c r="G26" s="21">
        <f t="shared" si="5"/>
        <v>0.17388575346129417</v>
      </c>
      <c r="H26" s="22">
        <f t="shared" si="6"/>
        <v>-159.20757807386556</v>
      </c>
      <c r="I26" s="12"/>
      <c r="J26" s="1">
        <v>110</v>
      </c>
      <c r="K26" s="21">
        <f t="shared" si="7"/>
        <v>196.04315184909618</v>
      </c>
      <c r="L26" s="21">
        <f t="shared" si="8"/>
        <v>498.87470325349364</v>
      </c>
      <c r="M26" s="21">
        <f t="shared" si="9"/>
        <v>-50.854229173113303</v>
      </c>
      <c r="N26" s="21">
        <f t="shared" si="10"/>
        <v>27.819655268722322</v>
      </c>
      <c r="O26" s="21">
        <f t="shared" si="11"/>
        <v>5.7421667569732939</v>
      </c>
      <c r="P26" s="21">
        <f t="shared" si="12"/>
        <v>0.1101625125182087</v>
      </c>
      <c r="Q26" s="22">
        <f t="shared" si="13"/>
        <v>677.62544795517215</v>
      </c>
      <c r="R26" s="12"/>
      <c r="S26" s="1">
        <v>110</v>
      </c>
      <c r="T26" s="21">
        <f t="shared" si="14"/>
        <v>-0.3026690156141657</v>
      </c>
      <c r="U26" s="21">
        <f t="shared" si="15"/>
        <v>164.28687122173415</v>
      </c>
      <c r="V26" s="21">
        <f t="shared" si="16"/>
        <v>-76.433874667826402</v>
      </c>
      <c r="W26" s="21">
        <f t="shared" si="17"/>
        <v>21.492683327565267</v>
      </c>
      <c r="X26" s="21">
        <f t="shared" si="18"/>
        <v>15.708597234796626</v>
      </c>
      <c r="Y26" s="25">
        <f t="shared" si="19"/>
        <v>124.75160810065549</v>
      </c>
    </row>
    <row r="27" spans="1:25" x14ac:dyDescent="0.25">
      <c r="A27" s="15">
        <v>115</v>
      </c>
      <c r="B27" s="21">
        <f t="shared" si="0"/>
        <v>-60.325641288289404</v>
      </c>
      <c r="C27" s="21">
        <f t="shared" si="1"/>
        <v>-362.8231690766313</v>
      </c>
      <c r="D27" s="21">
        <f t="shared" si="2"/>
        <v>146.59726787071386</v>
      </c>
      <c r="E27" s="21">
        <f t="shared" si="3"/>
        <v>105.09657766826132</v>
      </c>
      <c r="F27" s="21">
        <f t="shared" si="4"/>
        <v>33.876283452485701</v>
      </c>
      <c r="G27" s="21">
        <f t="shared" si="5"/>
        <v>9.2188194303169976E-2</v>
      </c>
      <c r="H27" s="22">
        <f t="shared" si="6"/>
        <v>-137.48649317915667</v>
      </c>
      <c r="I27" s="12"/>
      <c r="J27" s="1">
        <v>115</v>
      </c>
      <c r="K27" s="21">
        <f t="shared" si="7"/>
        <v>201.53161797122365</v>
      </c>
      <c r="L27" s="21">
        <f t="shared" si="8"/>
        <v>486.17650784604768</v>
      </c>
      <c r="M27" s="21">
        <f t="shared" si="9"/>
        <v>-70.986411724884306</v>
      </c>
      <c r="N27" s="21">
        <f t="shared" si="10"/>
        <v>42.476125332173588</v>
      </c>
      <c r="O27" s="21">
        <f t="shared" si="11"/>
        <v>9.9750378429329274</v>
      </c>
      <c r="P27" s="21">
        <f t="shared" si="12"/>
        <v>0.17591947574260083</v>
      </c>
      <c r="Q27" s="22">
        <f t="shared" si="13"/>
        <v>669.17287726749362</v>
      </c>
      <c r="R27" s="12"/>
      <c r="S27" s="1">
        <v>115</v>
      </c>
      <c r="T27" s="21">
        <f t="shared" si="14"/>
        <v>-0.37726053318242114</v>
      </c>
      <c r="U27" s="21">
        <f t="shared" si="15"/>
        <v>195.78946899456395</v>
      </c>
      <c r="V27" s="21">
        <f t="shared" si="16"/>
        <v>-91.090344731277682</v>
      </c>
      <c r="W27" s="21">
        <f t="shared" si="17"/>
        <v>26.540764314015565</v>
      </c>
      <c r="X27" s="21">
        <f t="shared" si="18"/>
        <v>20.674618750441269</v>
      </c>
      <c r="Y27" s="25">
        <f t="shared" si="19"/>
        <v>151.5372467945607</v>
      </c>
    </row>
    <row r="28" spans="1:25" x14ac:dyDescent="0.25">
      <c r="A28" s="15">
        <v>120</v>
      </c>
      <c r="B28" s="21">
        <f t="shared" si="0"/>
        <v>-55.961491582779203</v>
      </c>
      <c r="C28" s="21">
        <f t="shared" si="1"/>
        <v>-317.72786554435169</v>
      </c>
      <c r="D28" s="21">
        <f t="shared" si="2"/>
        <v>152.04073863092421</v>
      </c>
      <c r="E28" s="21">
        <f t="shared" si="3"/>
        <v>81.75062500000007</v>
      </c>
      <c r="F28" s="21">
        <f t="shared" si="4"/>
        <v>28.129777500000003</v>
      </c>
      <c r="G28" s="21">
        <f t="shared" si="5"/>
        <v>-6.5951881874998231E-3</v>
      </c>
      <c r="H28" s="22">
        <f t="shared" si="6"/>
        <v>-111.77481118439412</v>
      </c>
      <c r="I28" s="12"/>
      <c r="J28" s="1">
        <v>120</v>
      </c>
      <c r="K28" s="21">
        <f t="shared" si="7"/>
        <v>204.84821033277919</v>
      </c>
      <c r="L28" s="21">
        <f t="shared" si="8"/>
        <v>469.77821565249144</v>
      </c>
      <c r="M28" s="21">
        <f t="shared" si="9"/>
        <v>-92.501476320336053</v>
      </c>
      <c r="N28" s="21">
        <f t="shared" si="10"/>
        <v>59.454999999999956</v>
      </c>
      <c r="O28" s="21">
        <f t="shared" si="11"/>
        <v>15.259419999999983</v>
      </c>
      <c r="P28" s="21">
        <f t="shared" si="12"/>
        <v>0.25661277674999977</v>
      </c>
      <c r="Q28" s="22">
        <f t="shared" si="13"/>
        <v>656.83936966493445</v>
      </c>
      <c r="R28" s="12"/>
      <c r="S28" s="1">
        <v>120</v>
      </c>
      <c r="T28" s="21">
        <f t="shared" si="14"/>
        <v>-0.44446636720232929</v>
      </c>
      <c r="U28" s="21">
        <f t="shared" si="15"/>
        <v>221.34310282624566</v>
      </c>
      <c r="V28" s="21">
        <f t="shared" si="16"/>
        <v>-102.97908076400758</v>
      </c>
      <c r="W28" s="21">
        <f t="shared" si="17"/>
        <v>30.994288339022198</v>
      </c>
      <c r="X28" s="21">
        <f t="shared" si="18"/>
        <v>24.991788225729721</v>
      </c>
      <c r="Y28" s="25">
        <f t="shared" si="19"/>
        <v>173.90563225978767</v>
      </c>
    </row>
    <row r="29" spans="1:25" x14ac:dyDescent="0.25">
      <c r="A29" s="15">
        <v>125</v>
      </c>
      <c r="B29" s="21">
        <f t="shared" si="0"/>
        <v>-49.661096822656063</v>
      </c>
      <c r="C29" s="21">
        <f t="shared" si="1"/>
        <v>-262.80049833943878</v>
      </c>
      <c r="D29" s="21">
        <f t="shared" si="2"/>
        <v>152.67389216887395</v>
      </c>
      <c r="E29" s="21">
        <f t="shared" si="3"/>
        <v>55.920720958925962</v>
      </c>
      <c r="F29" s="21">
        <f t="shared" si="4"/>
        <v>21.267847893758539</v>
      </c>
      <c r="G29" s="21">
        <f t="shared" si="5"/>
        <v>-0.12027070554443506</v>
      </c>
      <c r="H29" s="22">
        <f t="shared" si="6"/>
        <v>-82.719404846080849</v>
      </c>
      <c r="I29" s="12"/>
      <c r="J29" s="1">
        <v>125</v>
      </c>
      <c r="K29" s="21">
        <f t="shared" si="7"/>
        <v>205.85085169640638</v>
      </c>
      <c r="L29" s="21">
        <f t="shared" si="8"/>
        <v>449.80462757797761</v>
      </c>
      <c r="M29" s="21">
        <f t="shared" si="9"/>
        <v>-114.34587616751392</v>
      </c>
      <c r="N29" s="21">
        <f t="shared" si="10"/>
        <v>78.240384757144767</v>
      </c>
      <c r="O29" s="21">
        <f t="shared" si="11"/>
        <v>21.471424852081391</v>
      </c>
      <c r="P29" s="21">
        <f t="shared" si="12"/>
        <v>0.35067182092087146</v>
      </c>
      <c r="Q29" s="22">
        <f t="shared" si="13"/>
        <v>641.02141271609628</v>
      </c>
      <c r="R29" s="12"/>
      <c r="S29" s="1">
        <v>125</v>
      </c>
      <c r="T29" s="21">
        <f t="shared" si="14"/>
        <v>-0.50081126206877014</v>
      </c>
      <c r="U29" s="21">
        <f t="shared" si="15"/>
        <v>240.17133848356636</v>
      </c>
      <c r="V29" s="21">
        <f t="shared" si="16"/>
        <v>-111.73884953765237</v>
      </c>
      <c r="W29" s="21">
        <f t="shared" si="17"/>
        <v>34.640425017974174</v>
      </c>
      <c r="X29" s="21">
        <f t="shared" si="18"/>
        <v>28.476038578678672</v>
      </c>
      <c r="Y29" s="25">
        <f t="shared" si="19"/>
        <v>191.04814128049807</v>
      </c>
    </row>
    <row r="30" spans="1:25" x14ac:dyDescent="0.25">
      <c r="A30" s="15">
        <v>130</v>
      </c>
      <c r="B30" s="21">
        <f t="shared" si="0"/>
        <v>-41.361316341061972</v>
      </c>
      <c r="C30" s="21">
        <f t="shared" si="1"/>
        <v>-198.45909789237302</v>
      </c>
      <c r="D30" s="21">
        <f t="shared" si="2"/>
        <v>147.13825377550393</v>
      </c>
      <c r="E30" s="21">
        <f t="shared" si="3"/>
        <v>28.391694108765186</v>
      </c>
      <c r="F30" s="21">
        <f t="shared" si="4"/>
        <v>13.508395148053967</v>
      </c>
      <c r="G30" s="21">
        <f t="shared" si="5"/>
        <v>-0.24584398323840129</v>
      </c>
      <c r="H30" s="22">
        <f t="shared" si="6"/>
        <v>-51.02791518435032</v>
      </c>
      <c r="I30" s="12"/>
      <c r="J30" s="1">
        <v>130</v>
      </c>
      <c r="K30" s="21">
        <f t="shared" si="7"/>
        <v>204.42082088065166</v>
      </c>
      <c r="L30" s="21">
        <f t="shared" si="8"/>
        <v>426.40775468813558</v>
      </c>
      <c r="M30" s="21">
        <f t="shared" si="9"/>
        <v>-135.36888508206107</v>
      </c>
      <c r="N30" s="21">
        <f t="shared" si="10"/>
        <v>98.261495193625322</v>
      </c>
      <c r="O30" s="21">
        <f t="shared" si="11"/>
        <v>28.437984176912</v>
      </c>
      <c r="P30" s="21">
        <f t="shared" si="12"/>
        <v>0.45574005202305923</v>
      </c>
      <c r="Q30" s="22">
        <f t="shared" si="13"/>
        <v>622.15916985726358</v>
      </c>
      <c r="R30" s="12"/>
      <c r="S30" s="1">
        <v>130</v>
      </c>
      <c r="T30" s="21">
        <f t="shared" si="14"/>
        <v>-0.54312984428755284</v>
      </c>
      <c r="U30" s="21">
        <f t="shared" si="15"/>
        <v>251.70208955362517</v>
      </c>
      <c r="V30" s="21">
        <f t="shared" si="16"/>
        <v>-117.10348991068167</v>
      </c>
      <c r="W30" s="21">
        <f t="shared" si="17"/>
        <v>37.289792490773984</v>
      </c>
      <c r="X30" s="21">
        <f t="shared" si="18"/>
        <v>30.979998984122911</v>
      </c>
      <c r="Y30" s="25">
        <f t="shared" si="19"/>
        <v>202.32526127355283</v>
      </c>
    </row>
    <row r="31" spans="1:25" x14ac:dyDescent="0.25">
      <c r="A31" s="15">
        <v>135</v>
      </c>
      <c r="B31" s="21">
        <f t="shared" si="0"/>
        <v>-31.020816960943147</v>
      </c>
      <c r="C31" s="21">
        <f t="shared" si="1"/>
        <v>-125.19334111095644</v>
      </c>
      <c r="D31" s="21">
        <f t="shared" si="2"/>
        <v>134.03325181722539</v>
      </c>
      <c r="E31" s="21">
        <f t="shared" si="3"/>
        <v>3.6304570460998775E-14</v>
      </c>
      <c r="F31" s="21">
        <f t="shared" si="4"/>
        <v>5.113916449693928</v>
      </c>
      <c r="G31" s="21">
        <f t="shared" si="5"/>
        <v>-0.37961701788187086</v>
      </c>
      <c r="H31" s="22">
        <f t="shared" si="6"/>
        <v>-17.446606822862105</v>
      </c>
      <c r="I31" s="12"/>
      <c r="J31" s="1">
        <v>135</v>
      </c>
      <c r="K31" s="21">
        <f t="shared" si="7"/>
        <v>200.46450176543598</v>
      </c>
      <c r="L31" s="21">
        <f t="shared" si="8"/>
        <v>399.76566131307499</v>
      </c>
      <c r="M31" s="21">
        <f t="shared" si="9"/>
        <v>-154.36126804717284</v>
      </c>
      <c r="N31" s="21">
        <f t="shared" si="10"/>
        <v>118.90999999999998</v>
      </c>
      <c r="O31" s="21">
        <f t="shared" si="11"/>
        <v>35.94258469143378</v>
      </c>
      <c r="P31" s="21">
        <f t="shared" si="12"/>
        <v>0.56875318187113189</v>
      </c>
      <c r="Q31" s="22">
        <f t="shared" si="13"/>
        <v>600.72147972277185</v>
      </c>
      <c r="R31" s="12"/>
      <c r="S31" s="1">
        <v>135</v>
      </c>
      <c r="T31" s="21">
        <f t="shared" si="14"/>
        <v>-0.568753181871132</v>
      </c>
      <c r="U31" s="21">
        <f t="shared" si="15"/>
        <v>255.58499999999998</v>
      </c>
      <c r="V31" s="21">
        <f t="shared" si="16"/>
        <v>-118.91</v>
      </c>
      <c r="W31" s="21">
        <f t="shared" si="17"/>
        <v>38.787078622680589</v>
      </c>
      <c r="X31" s="21">
        <f t="shared" si="18"/>
        <v>32.397202433533778</v>
      </c>
      <c r="Y31" s="31">
        <f t="shared" si="19"/>
        <v>207.29052787434321</v>
      </c>
    </row>
    <row r="32" spans="1:25" x14ac:dyDescent="0.25">
      <c r="A32" s="15">
        <v>140</v>
      </c>
      <c r="B32" s="21">
        <f t="shared" si="0"/>
        <v>-18.621182869916339</v>
      </c>
      <c r="C32" s="21">
        <f t="shared" si="1"/>
        <v>-43.56082464336891</v>
      </c>
      <c r="D32" s="21">
        <f t="shared" si="2"/>
        <v>111.97071267718208</v>
      </c>
      <c r="E32" s="21">
        <f t="shared" si="3"/>
        <v>-28.391694108765115</v>
      </c>
      <c r="F32" s="21">
        <f t="shared" si="4"/>
        <v>-3.6182677281179609</v>
      </c>
      <c r="G32" s="21">
        <f t="shared" si="5"/>
        <v>-0.51732771018747148</v>
      </c>
      <c r="H32" s="22">
        <f t="shared" si="6"/>
        <v>17.26141561682628</v>
      </c>
      <c r="I32" s="12"/>
      <c r="J32" s="1">
        <v>140</v>
      </c>
      <c r="K32" s="21">
        <f t="shared" si="7"/>
        <v>193.91489107168675</v>
      </c>
      <c r="L32" s="21">
        <f t="shared" si="8"/>
        <v>370.08110987031591</v>
      </c>
      <c r="M32" s="21">
        <f t="shared" si="9"/>
        <v>-170.09636476437015</v>
      </c>
      <c r="N32" s="21">
        <f t="shared" si="10"/>
        <v>139.55850480637463</v>
      </c>
      <c r="O32" s="21">
        <f t="shared" si="11"/>
        <v>43.73362953020272</v>
      </c>
      <c r="P32" s="21">
        <f t="shared" si="12"/>
        <v>0.68606193825971129</v>
      </c>
      <c r="Q32" s="22">
        <f t="shared" si="13"/>
        <v>577.19177051420979</v>
      </c>
      <c r="R32" s="12"/>
      <c r="S32" s="1">
        <v>140</v>
      </c>
      <c r="T32" s="21">
        <f t="shared" si="14"/>
        <v>-0.57567431935849378</v>
      </c>
      <c r="U32" s="21">
        <f t="shared" si="15"/>
        <v>251.70208955362517</v>
      </c>
      <c r="V32" s="21">
        <f t="shared" si="16"/>
        <v>-117.10348991068167</v>
      </c>
      <c r="W32" s="21">
        <f t="shared" si="17"/>
        <v>39.02030713749744</v>
      </c>
      <c r="X32" s="21">
        <f t="shared" si="18"/>
        <v>32.664887885015887</v>
      </c>
      <c r="Y32" s="25">
        <f t="shared" si="19"/>
        <v>205.70812034609833</v>
      </c>
    </row>
    <row r="33" spans="1:25" x14ac:dyDescent="0.25">
      <c r="A33" s="15">
        <v>145</v>
      </c>
      <c r="B33" s="21">
        <f t="shared" si="0"/>
        <v>-4.1677948662405262</v>
      </c>
      <c r="C33" s="21">
        <f t="shared" si="1"/>
        <v>45.817178769010546</v>
      </c>
      <c r="D33" s="21">
        <f t="shared" si="2"/>
        <v>79.630635005179599</v>
      </c>
      <c r="E33" s="21">
        <f t="shared" si="3"/>
        <v>-55.920720958926054</v>
      </c>
      <c r="F33" s="21">
        <f t="shared" si="4"/>
        <v>-12.367905032367222</v>
      </c>
      <c r="G33" s="21">
        <f t="shared" si="5"/>
        <v>-0.6543255146661594</v>
      </c>
      <c r="H33" s="22">
        <f t="shared" si="6"/>
        <v>52.33706740199019</v>
      </c>
      <c r="I33" s="12"/>
      <c r="J33" s="1">
        <v>145</v>
      </c>
      <c r="K33" s="21">
        <f t="shared" si="7"/>
        <v>184.73284738726898</v>
      </c>
      <c r="L33" s="21">
        <f t="shared" si="8"/>
        <v>337.58001772035976</v>
      </c>
      <c r="M33" s="21">
        <f t="shared" si="9"/>
        <v>-181.37230485032381</v>
      </c>
      <c r="N33" s="21">
        <f t="shared" si="10"/>
        <v>159.57961524285534</v>
      </c>
      <c r="O33" s="21">
        <f t="shared" si="11"/>
        <v>51.53503980124016</v>
      </c>
      <c r="P33" s="21">
        <f t="shared" si="12"/>
        <v>0.80359328949068609</v>
      </c>
      <c r="Q33" s="22">
        <f t="shared" si="13"/>
        <v>552.05521530140049</v>
      </c>
      <c r="R33" s="12"/>
      <c r="S33" s="1">
        <v>145</v>
      </c>
      <c r="T33" s="21">
        <f t="shared" si="14"/>
        <v>-0.56268207895611577</v>
      </c>
      <c r="U33" s="21">
        <f t="shared" si="15"/>
        <v>240.17133848356636</v>
      </c>
      <c r="V33" s="21">
        <f t="shared" si="16"/>
        <v>-111.73884953765236</v>
      </c>
      <c r="W33" s="21">
        <f t="shared" si="17"/>
        <v>37.928161284820568</v>
      </c>
      <c r="X33" s="21">
        <f t="shared" si="18"/>
        <v>31.765320209216846</v>
      </c>
      <c r="Y33" s="25">
        <f t="shared" si="19"/>
        <v>197.56328836099527</v>
      </c>
    </row>
    <row r="34" spans="1:25" x14ac:dyDescent="0.25">
      <c r="A34" s="15">
        <v>150</v>
      </c>
      <c r="B34" s="21">
        <f t="shared" si="0"/>
        <v>12.309533340622517</v>
      </c>
      <c r="C34" s="21">
        <f t="shared" si="1"/>
        <v>142.26044855229873</v>
      </c>
      <c r="D34" s="21">
        <f t="shared" si="2"/>
        <v>35.816445135502917</v>
      </c>
      <c r="E34" s="21">
        <f t="shared" si="3"/>
        <v>-81.750625000000042</v>
      </c>
      <c r="F34" s="21">
        <f t="shared" si="4"/>
        <v>-20.805264781006251</v>
      </c>
      <c r="G34" s="21">
        <f t="shared" si="5"/>
        <v>-0.7857744753358058</v>
      </c>
      <c r="H34" s="22">
        <f t="shared" si="6"/>
        <v>87.04476277208208</v>
      </c>
      <c r="I34" s="12"/>
      <c r="J34" s="1">
        <v>150</v>
      </c>
      <c r="K34" s="21">
        <f t="shared" si="7"/>
        <v>172.90806630845009</v>
      </c>
      <c r="L34" s="21">
        <f t="shared" si="8"/>
        <v>302.5097377991641</v>
      </c>
      <c r="M34" s="21">
        <f t="shared" si="9"/>
        <v>-187.05403436745561</v>
      </c>
      <c r="N34" s="21">
        <f t="shared" si="10"/>
        <v>178.36500000000004</v>
      </c>
      <c r="O34" s="21">
        <f t="shared" si="11"/>
        <v>59.058562310168611</v>
      </c>
      <c r="P34" s="21">
        <f t="shared" si="12"/>
        <v>0.91704154454815179</v>
      </c>
      <c r="Q34" s="22">
        <f t="shared" si="13"/>
        <v>525.78733205032722</v>
      </c>
      <c r="R34" s="12"/>
      <c r="S34" s="1">
        <v>150</v>
      </c>
      <c r="T34" s="21">
        <f t="shared" si="14"/>
        <v>-0.52945418260294552</v>
      </c>
      <c r="U34" s="21">
        <f t="shared" si="15"/>
        <v>221.34310282624571</v>
      </c>
      <c r="V34" s="21">
        <f t="shared" si="16"/>
        <v>-102.97908076400761</v>
      </c>
      <c r="W34" s="21">
        <f t="shared" si="17"/>
        <v>35.504879747810548</v>
      </c>
      <c r="X34" s="21">
        <f t="shared" si="18"/>
        <v>29.7255979014144</v>
      </c>
      <c r="Y34" s="25">
        <f t="shared" si="19"/>
        <v>183.06504552886014</v>
      </c>
    </row>
    <row r="35" spans="1:25" x14ac:dyDescent="0.25">
      <c r="A35" s="15">
        <v>155</v>
      </c>
      <c r="B35" s="21">
        <f t="shared" si="0"/>
        <v>30.756171771786057</v>
      </c>
      <c r="C35" s="21">
        <f t="shared" si="1"/>
        <v>245.03499318940683</v>
      </c>
      <c r="D35" s="21">
        <f t="shared" si="2"/>
        <v>-20.492060519535595</v>
      </c>
      <c r="E35" s="21">
        <f t="shared" si="3"/>
        <v>-105.09657766826128</v>
      </c>
      <c r="F35" s="21">
        <f t="shared" si="4"/>
        <v>-28.605491328867625</v>
      </c>
      <c r="G35" s="21">
        <f t="shared" si="5"/>
        <v>-0.90687304344312702</v>
      </c>
      <c r="H35" s="22">
        <f t="shared" si="6"/>
        <v>120.69016240108526</v>
      </c>
      <c r="I35" s="12"/>
      <c r="J35" s="1">
        <v>155</v>
      </c>
      <c r="K35" s="21">
        <f t="shared" si="7"/>
        <v>158.45976912118769</v>
      </c>
      <c r="L35" s="21">
        <f t="shared" si="8"/>
        <v>265.13717611294294</v>
      </c>
      <c r="M35" s="21">
        <f t="shared" si="9"/>
        <v>-186.11383481190771</v>
      </c>
      <c r="N35" s="21">
        <f t="shared" si="10"/>
        <v>195.34387466782641</v>
      </c>
      <c r="O35" s="21">
        <f t="shared" si="11"/>
        <v>66.017132983558341</v>
      </c>
      <c r="P35" s="21">
        <f t="shared" si="12"/>
        <v>1.0220786844100795</v>
      </c>
      <c r="Q35" s="22">
        <f t="shared" si="13"/>
        <v>498.84411807360766</v>
      </c>
      <c r="R35" s="12"/>
      <c r="S35" s="1">
        <v>155</v>
      </c>
      <c r="T35" s="21">
        <f t="shared" si="14"/>
        <v>-0.47660311777740622</v>
      </c>
      <c r="U35" s="21">
        <f t="shared" si="15"/>
        <v>195.789468994564</v>
      </c>
      <c r="V35" s="21">
        <f t="shared" si="16"/>
        <v>-91.090344731277696</v>
      </c>
      <c r="W35" s="21">
        <f t="shared" si="17"/>
        <v>31.80237422130384</v>
      </c>
      <c r="X35" s="21">
        <f t="shared" si="18"/>
        <v>26.615966087642001</v>
      </c>
      <c r="Y35" s="25">
        <f t="shared" si="19"/>
        <v>162.64086145445472</v>
      </c>
    </row>
    <row r="36" spans="1:25" x14ac:dyDescent="0.25">
      <c r="A36" s="15">
        <v>160</v>
      </c>
      <c r="B36" s="21">
        <f t="shared" si="0"/>
        <v>51.092551325077004</v>
      </c>
      <c r="C36" s="21">
        <f t="shared" si="1"/>
        <v>353.35863633867979</v>
      </c>
      <c r="D36" s="21">
        <f t="shared" si="2"/>
        <v>-90.089820950839737</v>
      </c>
      <c r="E36" s="21">
        <f t="shared" si="3"/>
        <v>-125.24922400550675</v>
      </c>
      <c r="F36" s="21">
        <f t="shared" si="4"/>
        <v>-35.463125869210245</v>
      </c>
      <c r="G36" s="21">
        <f t="shared" si="5"/>
        <v>-1.0130788260945878</v>
      </c>
      <c r="H36" s="22">
        <f t="shared" si="6"/>
        <v>152.6359380121055</v>
      </c>
      <c r="I36" s="12"/>
      <c r="J36" s="1">
        <v>160</v>
      </c>
      <c r="K36" s="21">
        <f t="shared" si="7"/>
        <v>141.43709513652431</v>
      </c>
      <c r="L36" s="21">
        <f t="shared" si="8"/>
        <v>225.74676042229822</v>
      </c>
      <c r="M36" s="21">
        <f t="shared" si="9"/>
        <v>-177.66905751077391</v>
      </c>
      <c r="N36" s="21">
        <f t="shared" si="10"/>
        <v>210.00034473127766</v>
      </c>
      <c r="O36" s="21">
        <f t="shared" si="11"/>
        <v>72.13856764170761</v>
      </c>
      <c r="P36" s="21">
        <f t="shared" si="12"/>
        <v>1.1145718914453844</v>
      </c>
      <c r="Q36" s="22">
        <f t="shared" si="13"/>
        <v>471.65371042103391</v>
      </c>
      <c r="R36" s="12"/>
      <c r="S36" s="1">
        <v>160</v>
      </c>
      <c r="T36" s="21">
        <f t="shared" si="14"/>
        <v>-0.40567099243590099</v>
      </c>
      <c r="U36" s="21">
        <f t="shared" si="15"/>
        <v>164.2868712217342</v>
      </c>
      <c r="V36" s="21">
        <f t="shared" si="16"/>
        <v>-76.43387466782643</v>
      </c>
      <c r="W36" s="21">
        <f t="shared" si="17"/>
        <v>26.929377181302872</v>
      </c>
      <c r="X36" s="21">
        <f t="shared" si="18"/>
        <v>22.54669924222236</v>
      </c>
      <c r="Y36" s="25">
        <f t="shared" si="19"/>
        <v>136.9234019849971</v>
      </c>
    </row>
    <row r="37" spans="1:25" x14ac:dyDescent="0.25">
      <c r="A37" s="15">
        <v>165</v>
      </c>
      <c r="B37" s="21">
        <f t="shared" si="0"/>
        <v>73.214306459758603</v>
      </c>
      <c r="C37" s="21">
        <f t="shared" si="1"/>
        <v>466.4069696681475</v>
      </c>
      <c r="D37" s="21">
        <f t="shared" si="2"/>
        <v>-173.50328574427752</v>
      </c>
      <c r="E37" s="21">
        <f t="shared" si="3"/>
        <v>-141.59623605051041</v>
      </c>
      <c r="F37" s="21">
        <f t="shared" si="4"/>
        <v>-41.106038583943096</v>
      </c>
      <c r="G37" s="21">
        <f t="shared" si="5"/>
        <v>-1.1003258817048318</v>
      </c>
      <c r="H37" s="22">
        <f t="shared" si="6"/>
        <v>182.31538986747023</v>
      </c>
      <c r="I37" s="12"/>
      <c r="J37" s="1">
        <v>165</v>
      </c>
      <c r="K37" s="21">
        <f t="shared" si="7"/>
        <v>121.9191905949493</v>
      </c>
      <c r="L37" s="21">
        <f t="shared" si="8"/>
        <v>184.63827557521904</v>
      </c>
      <c r="M37" s="21">
        <f t="shared" si="9"/>
        <v>-161.01587736057397</v>
      </c>
      <c r="N37" s="21">
        <f t="shared" si="10"/>
        <v>221.88908076400759</v>
      </c>
      <c r="O37" s="21">
        <f t="shared" si="11"/>
        <v>77.178818050323287</v>
      </c>
      <c r="P37" s="21">
        <f t="shared" si="12"/>
        <v>1.1907956071378891</v>
      </c>
      <c r="Q37" s="22">
        <f t="shared" si="13"/>
        <v>444.6094876239253</v>
      </c>
      <c r="R37" s="12"/>
      <c r="S37" s="1">
        <v>165</v>
      </c>
      <c r="T37" s="21">
        <f t="shared" si="14"/>
        <v>-0.31907272128312619</v>
      </c>
      <c r="U37" s="21">
        <f t="shared" si="15"/>
        <v>127.7925000000001</v>
      </c>
      <c r="V37" s="21">
        <f t="shared" si="16"/>
        <v>-59.455000000000055</v>
      </c>
      <c r="W37" s="21">
        <f t="shared" si="17"/>
        <v>21.047601900408893</v>
      </c>
      <c r="X37" s="21">
        <f t="shared" si="18"/>
        <v>17.663662816023855</v>
      </c>
      <c r="Y37" s="25">
        <f t="shared" si="19"/>
        <v>106.72969199514968</v>
      </c>
    </row>
    <row r="38" spans="1:25" x14ac:dyDescent="0.25">
      <c r="A38" s="15">
        <v>170</v>
      </c>
      <c r="B38" s="21">
        <f t="shared" si="0"/>
        <v>96.992685856749276</v>
      </c>
      <c r="C38" s="21">
        <f t="shared" si="1"/>
        <v>583.31962710072344</v>
      </c>
      <c r="D38" s="21">
        <f t="shared" si="2"/>
        <v>-270.95431848860312</v>
      </c>
      <c r="E38" s="21">
        <f t="shared" si="3"/>
        <v>-153.64091811427198</v>
      </c>
      <c r="F38" s="21">
        <f t="shared" si="4"/>
        <v>-45.308030974020745</v>
      </c>
      <c r="G38" s="21">
        <f t="shared" si="5"/>
        <v>-1.1652224014272432</v>
      </c>
      <c r="H38" s="22">
        <f t="shared" si="6"/>
        <v>209.24382297914966</v>
      </c>
      <c r="I38" s="12"/>
      <c r="J38" s="1">
        <v>170</v>
      </c>
      <c r="K38" s="21">
        <f t="shared" si="7"/>
        <v>100.01498994028279</v>
      </c>
      <c r="L38" s="21">
        <f t="shared" si="8"/>
        <v>142.12458196337326</v>
      </c>
      <c r="M38" s="21">
        <f t="shared" si="9"/>
        <v>-135.65798753789127</v>
      </c>
      <c r="N38" s="21">
        <f t="shared" si="10"/>
        <v>230.64884953765235</v>
      </c>
      <c r="O38" s="21">
        <f t="shared" si="11"/>
        <v>80.93404425694753</v>
      </c>
      <c r="P38" s="21">
        <f t="shared" si="12"/>
        <v>1.2476256111362052</v>
      </c>
      <c r="Q38" s="22">
        <f t="shared" si="13"/>
        <v>418.06447816036467</v>
      </c>
      <c r="R38" s="12"/>
      <c r="S38" s="1">
        <v>170</v>
      </c>
      <c r="T38" s="21">
        <f t="shared" si="14"/>
        <v>-0.2199900570662004</v>
      </c>
      <c r="U38" s="21">
        <f t="shared" si="15"/>
        <v>87.415218331890998</v>
      </c>
      <c r="V38" s="21">
        <f t="shared" si="16"/>
        <v>-40.669615242855258</v>
      </c>
      <c r="W38" s="21">
        <f t="shared" si="17"/>
        <v>14.36507378775981</v>
      </c>
      <c r="X38" s="21">
        <f t="shared" si="18"/>
        <v>12.142704275229219</v>
      </c>
      <c r="Y38" s="25">
        <f t="shared" si="19"/>
        <v>73.033391094958574</v>
      </c>
    </row>
    <row r="39" spans="1:25" x14ac:dyDescent="0.25">
      <c r="A39" s="15">
        <v>175</v>
      </c>
      <c r="B39" s="21">
        <f t="shared" si="0"/>
        <v>122.27523084857826</v>
      </c>
      <c r="C39" s="21">
        <f t="shared" si="1"/>
        <v>703.20683271955181</v>
      </c>
      <c r="D39" s="21">
        <f t="shared" si="2"/>
        <v>-382.33247815460527</v>
      </c>
      <c r="E39" s="21">
        <f t="shared" si="3"/>
        <v>-161.0172986271873</v>
      </c>
      <c r="F39" s="21">
        <f t="shared" si="4"/>
        <v>-47.899430201400406</v>
      </c>
      <c r="G39" s="21">
        <f t="shared" si="5"/>
        <v>-1.2052175884713683</v>
      </c>
      <c r="H39" s="22">
        <f t="shared" si="6"/>
        <v>233.02763899646578</v>
      </c>
      <c r="I39" s="12"/>
      <c r="J39" s="1">
        <v>175</v>
      </c>
      <c r="K39" s="21">
        <f t="shared" si="7"/>
        <v>75.862688208106306</v>
      </c>
      <c r="L39" s="21">
        <f t="shared" si="8"/>
        <v>98.52923446561752</v>
      </c>
      <c r="M39" s="21">
        <f t="shared" si="9"/>
        <v>-101.32930767941359</v>
      </c>
      <c r="N39" s="21">
        <f t="shared" si="10"/>
        <v>236.0134899106817</v>
      </c>
      <c r="O39" s="21">
        <f t="shared" si="11"/>
        <v>83.250813695180753</v>
      </c>
      <c r="P39" s="21">
        <f t="shared" si="12"/>
        <v>1.2827035719321278</v>
      </c>
      <c r="Q39" s="22">
        <f t="shared" si="13"/>
        <v>392.32691860017269</v>
      </c>
      <c r="R39" s="12"/>
      <c r="S39" s="1">
        <v>175</v>
      </c>
      <c r="T39" s="21">
        <f t="shared" si="14"/>
        <v>-0.11222202120827084</v>
      </c>
      <c r="U39" s="21">
        <f t="shared" si="15"/>
        <v>44.381869489002398</v>
      </c>
      <c r="V39" s="21">
        <f t="shared" si="16"/>
        <v>-20.648504806374696</v>
      </c>
      <c r="W39" s="21">
        <f t="shared" si="17"/>
        <v>7.126961388241436</v>
      </c>
      <c r="X39" s="21">
        <f t="shared" si="18"/>
        <v>6.1830606029321844</v>
      </c>
      <c r="Y39" s="25">
        <f t="shared" si="19"/>
        <v>36.931164652593054</v>
      </c>
    </row>
    <row r="40" spans="1:25" ht="14.4" thickBot="1" x14ac:dyDescent="0.3">
      <c r="A40" s="16">
        <v>180</v>
      </c>
      <c r="B40" s="23">
        <f t="shared" si="0"/>
        <v>148.88671874999994</v>
      </c>
      <c r="C40" s="23">
        <f t="shared" si="1"/>
        <v>825.1561724999998</v>
      </c>
      <c r="D40" s="23">
        <f t="shared" si="2"/>
        <v>-507.17668031249985</v>
      </c>
      <c r="E40" s="21">
        <f t="shared" si="3"/>
        <v>-163.50125</v>
      </c>
      <c r="F40" s="23">
        <f t="shared" si="4"/>
        <v>-48.775100000000002</v>
      </c>
      <c r="G40" s="23">
        <f>$H$2*$C$2^2*IF(AND(A40&gt;=0, A40&lt;=45),
0.2346-0.3536*COS(RADIANS(A40)),
IF(AND(A40&gt;45, A40&lt;=180),
-0.3487+0.5*SIN(RADIANS(A40))^2+0.2357*COS(RADIANS(A40))^3,
""))</f>
        <v>-1.218728214</v>
      </c>
      <c r="H40" s="27">
        <f t="shared" si="6"/>
        <v>253.37113272349984</v>
      </c>
      <c r="I40" s="17"/>
      <c r="J40" s="18">
        <v>180</v>
      </c>
      <c r="K40" s="23">
        <f t="shared" si="7"/>
        <v>49.628906250000036</v>
      </c>
      <c r="L40" s="23">
        <f t="shared" si="8"/>
        <v>54.184020000000061</v>
      </c>
      <c r="M40" s="23">
        <f t="shared" si="9"/>
        <v>-58.009957500000063</v>
      </c>
      <c r="N40" s="23">
        <f t="shared" si="10"/>
        <v>237.82000000000002</v>
      </c>
      <c r="O40" s="23">
        <f t="shared" si="11"/>
        <v>84.033839999999998</v>
      </c>
      <c r="P40" s="23">
        <f t="shared" si="12"/>
        <v>1.2945622140000002</v>
      </c>
      <c r="Q40" s="29">
        <f t="shared" si="13"/>
        <v>367.65680875000004</v>
      </c>
      <c r="R40" s="17"/>
      <c r="S40" s="18">
        <v>180</v>
      </c>
      <c r="T40" s="23">
        <f t="shared" si="14"/>
        <v>-1.5860308962651823E-16</v>
      </c>
      <c r="U40" s="23">
        <f t="shared" si="15"/>
        <v>6.2625913569563927E-14</v>
      </c>
      <c r="V40" s="23">
        <f t="shared" si="16"/>
        <v>-2.9136480554636805E-14</v>
      </c>
      <c r="W40" s="23">
        <f t="shared" si="17"/>
        <v>-0.39561395779281389</v>
      </c>
      <c r="X40" s="23">
        <f t="shared" si="18"/>
        <v>1.3155182820875178E-14</v>
      </c>
      <c r="Y40" s="26">
        <f t="shared" si="19"/>
        <v>-0.39561395779276742</v>
      </c>
    </row>
    <row r="42" spans="1:25" x14ac:dyDescent="0.25">
      <c r="H42" s="30">
        <f>COS(RADIANS(A40))</f>
        <v>-1</v>
      </c>
    </row>
    <row r="43" spans="1:25" x14ac:dyDescent="0.25">
      <c r="H43">
        <f>TAN(RADIANS(40))</f>
        <v>0.83909963117727993</v>
      </c>
    </row>
  </sheetData>
  <phoneticPr fontId="1" type="noConversion"/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FD9D0A-3C23-4B6D-9CA2-2CD4A8FA41BD}">
  <dimension ref="A1:Y43"/>
  <sheetViews>
    <sheetView tabSelected="1" zoomScale="55" zoomScaleNormal="55" workbookViewId="0">
      <selection activeCell="AG26" sqref="AG26"/>
    </sheetView>
  </sheetViews>
  <sheetFormatPr defaultRowHeight="13.8" x14ac:dyDescent="0.25"/>
  <sheetData>
    <row r="1" spans="1:25" x14ac:dyDescent="0.25">
      <c r="A1" s="5" t="s">
        <v>0</v>
      </c>
      <c r="B1" s="6" t="s">
        <v>3</v>
      </c>
      <c r="C1" s="6" t="s">
        <v>4</v>
      </c>
      <c r="D1" s="6" t="s">
        <v>5</v>
      </c>
      <c r="E1" s="6" t="s">
        <v>6</v>
      </c>
      <c r="F1" s="6" t="s">
        <v>7</v>
      </c>
      <c r="G1" s="6" t="s">
        <v>8</v>
      </c>
      <c r="H1" s="6" t="s">
        <v>9</v>
      </c>
      <c r="I1" s="7"/>
      <c r="J1" s="8" t="s">
        <v>10</v>
      </c>
      <c r="K1" s="7"/>
      <c r="L1" s="7"/>
      <c r="M1" s="7"/>
      <c r="N1" s="7"/>
      <c r="O1" s="7"/>
      <c r="P1" s="7"/>
      <c r="Q1" s="7"/>
      <c r="R1" s="7"/>
      <c r="S1" s="9" t="s">
        <v>13</v>
      </c>
      <c r="T1" s="7"/>
      <c r="U1" s="7"/>
      <c r="V1" s="7"/>
      <c r="W1" s="7"/>
      <c r="X1" s="7"/>
      <c r="Y1" s="10"/>
    </row>
    <row r="2" spans="1:25" x14ac:dyDescent="0.25">
      <c r="A2" s="11"/>
      <c r="B2" s="2">
        <v>13.125</v>
      </c>
      <c r="C2" s="2">
        <v>2.75</v>
      </c>
      <c r="D2" s="2">
        <v>202.15</v>
      </c>
      <c r="E2" s="2">
        <v>215.27500000000001</v>
      </c>
      <c r="F2" s="2">
        <v>114.81</v>
      </c>
      <c r="G2" s="2">
        <v>44.48</v>
      </c>
      <c r="H2" s="2">
        <v>0.39040000000000002</v>
      </c>
      <c r="I2" s="12"/>
      <c r="J2" s="12"/>
      <c r="K2" s="12"/>
      <c r="L2" s="12"/>
      <c r="M2" s="12"/>
      <c r="N2" s="12"/>
      <c r="O2" s="12"/>
      <c r="P2" s="12"/>
      <c r="Q2" s="12"/>
      <c r="R2" s="12"/>
      <c r="S2" s="12"/>
      <c r="T2" s="24"/>
      <c r="U2" s="12"/>
      <c r="V2" s="12"/>
      <c r="W2" s="12"/>
      <c r="X2" s="12"/>
      <c r="Y2" s="13"/>
    </row>
    <row r="3" spans="1:25" ht="15.6" x14ac:dyDescent="0.3">
      <c r="A3" s="14" t="s">
        <v>1</v>
      </c>
      <c r="B3" s="4">
        <v>1</v>
      </c>
      <c r="C3" s="4">
        <v>2</v>
      </c>
      <c r="D3" s="4">
        <v>3</v>
      </c>
      <c r="E3" s="4">
        <v>4</v>
      </c>
      <c r="F3" s="4">
        <v>5</v>
      </c>
      <c r="G3" s="4">
        <v>6</v>
      </c>
      <c r="H3" s="19" t="s">
        <v>2</v>
      </c>
      <c r="I3" s="12"/>
      <c r="J3" s="3" t="s">
        <v>1</v>
      </c>
      <c r="K3" s="4">
        <v>1</v>
      </c>
      <c r="L3" s="4">
        <v>2</v>
      </c>
      <c r="M3" s="4">
        <v>3</v>
      </c>
      <c r="N3" s="4">
        <v>4</v>
      </c>
      <c r="O3" s="4">
        <v>5</v>
      </c>
      <c r="P3" s="4">
        <v>6</v>
      </c>
      <c r="Q3" s="19" t="s">
        <v>11</v>
      </c>
      <c r="R3" s="12"/>
      <c r="S3" s="3" t="s">
        <v>1</v>
      </c>
      <c r="T3" s="4">
        <v>1</v>
      </c>
      <c r="U3" s="4">
        <v>2</v>
      </c>
      <c r="V3" s="4">
        <v>3</v>
      </c>
      <c r="W3" s="4">
        <v>4</v>
      </c>
      <c r="X3" s="4">
        <v>5</v>
      </c>
      <c r="Y3" s="20" t="s">
        <v>12</v>
      </c>
    </row>
    <row r="4" spans="1:25" x14ac:dyDescent="0.25">
      <c r="A4" s="15">
        <v>0</v>
      </c>
      <c r="B4" s="21">
        <f>$B$2*$C$2^2*(1-0.5*COS(RADIANS(A4))-RADIANS(A4)*SIN(RADIANS(A4)))</f>
        <v>49.62890625</v>
      </c>
      <c r="C4" s="21">
        <f>$D$2*$C$2^2*IF(AND(A4&gt;=0, A4&lt;=90),
0.193+0.106*COS(RADIANS(A4))-0.5*SIN(RADIANS(A4))^2,
IF(AND(A4&gt;90, A4&lt;=180),
0.693+0.106*COS(RADIANS(A4))-SIN(RADIANS(A4)),
""))</f>
        <v>457.09905312500001</v>
      </c>
      <c r="D4" s="21">
        <f>$E$2*$C$2^2*IF(AND(A4&gt;=0, A4&lt;=90),
0.057-0.106*COS(RADIANS(A4)),
IF(AND(A4&gt;90, A4&lt;=180),
-0.443+SIN(RADIANS(A4))-0.106*COS(RADIANS(A4))-0.5*SIN(RADIANS(A4))^2,
""))</f>
        <v>-79.77284218749999</v>
      </c>
      <c r="E4" s="21">
        <f>$F$2*$C$2^2*(0.25-0.5*COS(RADIANS(A4))^2)</f>
        <v>-217.06265625</v>
      </c>
      <c r="F4" s="21">
        <f>$G$2*$C$2^2*(0.25*SIN(RADIANS(A4))^2+0.083*COS(RADIANS(A4))^3-0.063*COS(RADIANS(A4))-0.125)</f>
        <v>-35.319899999999997</v>
      </c>
      <c r="G4" s="21">
        <f>$H$2*$C$2^2*IF(AND(A4&gt;=0, A4&lt;=45),
0.2346-0.3536*COS(RADIANS(A4)),
IF(AND(A4&gt;45, A4&lt;=180),
-0.3487+0.5*SIN(RADIANS(A4))^2+0.2357*COS(RADIANS(A4))^3,
""))</f>
        <v>-0.35133560000000008</v>
      </c>
      <c r="H4" s="22">
        <f>SUM(B4:G4)</f>
        <v>174.22122533750004</v>
      </c>
      <c r="I4" s="12"/>
      <c r="J4" s="1">
        <v>0</v>
      </c>
      <c r="K4" s="21">
        <f>$B$2*$C$2^2*(RADIANS(J4)*SIN(RADIANS(J4))-0.5*COS(RADIANS(J4)))</f>
        <v>-49.62890625</v>
      </c>
      <c r="L4" s="21">
        <f>$D$2*$C$2*IF(AND(J4&gt;=0, J4&lt;=90),
SIN(RADIANS(J4))^2-0.106*COS(RADIANS(J4)),
IF(AND(J4&gt;90, J4&lt;=180),
SIN(RADIANS(J4))-0.106*COS(RADIANS(J4)),
""))</f>
        <v>-58.926724999999998</v>
      </c>
      <c r="M4" s="21">
        <f>IF(AND(J4&gt;=0, J4&lt;=90),
0.106*$E$2*$C$2*COS(RADIANS(J4)),
IF(AND(J4&gt;90, J4&lt;=180),
$E$2*$C$2*(SIN(RADIANS(J4))^2-SIN(RADIANS(J4))+0.106*COS(RADIANS(J4))),
""))</f>
        <v>62.7526625</v>
      </c>
      <c r="N4" s="21">
        <f>$F$2*$C$2*COS(RADIANS(J4))^2</f>
        <v>315.72750000000002</v>
      </c>
      <c r="O4" s="21">
        <f>$G$2*$C$2*COS(RADIANS(J4))*(0.063+0.5*COS(RADIANS(J4))-0.25*COS(RADIANS(J4))^2)</f>
        <v>38.286159999999988</v>
      </c>
      <c r="P4" s="21">
        <f>IF(AND(J4&gt;=0, J4&lt;=45),
0.3536*$H$2*$C$2*COS(RADIANS(J4)),
IF(AND(J4&gt;45, J4&lt;=180),
$H$2*$C$2*(-0.7071*COS(RADIANS(J4))+COS(RADIANS(J4))^2+0.7071*SIN(RADIANS(J4))^2*COS(RADIANS(J4))),
""))</f>
        <v>0.37962496000000007</v>
      </c>
      <c r="Q4" s="22">
        <f>SUM(K4:O4)</f>
        <v>308.21069125000002</v>
      </c>
      <c r="R4" s="12"/>
      <c r="S4" s="1">
        <v>0</v>
      </c>
      <c r="T4" s="21">
        <f>IF(AND(J4&gt;=0, J4&lt;=45),
0.3536*SIN(RADIANS(S4))*$H$2,
IF(AND(J4&gt;45, J4&lt;=180),
(SIN(RADIANS(S4))*COS(RADIANS(S4))-0.7071*COS(RADIANS(S4))^2*SIN(RADIANS(S4)))*$H$2*$C$2,
""))</f>
        <v>0</v>
      </c>
      <c r="U4" s="21">
        <f>-$D$2*$C$2*SIN(RADIANS(S4))*COS(RADIANS(S4))</f>
        <v>0</v>
      </c>
      <c r="V4" s="21">
        <f>$C$2*$F$2*SIN(RADIANS(S4))*COS(RADIANS(S4))</f>
        <v>0</v>
      </c>
      <c r="W4" s="21">
        <f>$C$2*(SIN(RADIANS(RADIANS(S4)))+8*SIN(RADIANS(S4))*COS(RADIANS(S4))-4*SIN(RADIANS(S4))*COS(RADIANS(S4))^2)*(($G$2-$F$2)/16)</f>
        <v>0</v>
      </c>
      <c r="X4" s="21">
        <f>IF(AND(S4&gt;=0, S4&lt;=90),
(-RADIANS(S4)*COS(RADIANS(S4))-SIN(RADIANS(S4))/6)*$B$2*$C$2,
IF(AND(S4&gt;90, S4&lt;=180),
((PI()-RADIANS(S4))*COS(RADIANS(S4))-PI()*SIN(RADIANS(S4))*COS(RADIANS(S4))-SIN(RADIANS(S4))/6)*$B$2*$C$2,
""))</f>
        <v>0</v>
      </c>
      <c r="Y4" s="25">
        <f>SUM(T4:X4)</f>
        <v>0</v>
      </c>
    </row>
    <row r="5" spans="1:25" x14ac:dyDescent="0.25">
      <c r="A5" s="15">
        <v>5</v>
      </c>
      <c r="B5" s="21">
        <f t="shared" ref="B5:B40" si="0">$B$2*$C$2^2*(1-0.5*COS(RADIANS(A5))-RADIANS(A5)*SIN(RADIANS(A5)))</f>
        <v>49.062826795093017</v>
      </c>
      <c r="C5" s="21">
        <f t="shared" ref="C5:C40" si="1">$D$2*$C$2^2*IF(AND(A5&gt;=0, A5&lt;=90),
0.193+0.106*COS(RADIANS(A5))-0.5*SIN(RADIANS(A5))^2,
IF(AND(A5&gt;90, A5&lt;=180),
0.693+0.106*COS(RADIANS(A5))-SIN(RADIANS(A5)),
""))</f>
        <v>450.67608718002776</v>
      </c>
      <c r="D5" s="21">
        <f t="shared" ref="D5:D40" si="2">$E$2*$C$2^2*IF(AND(A5&gt;=0, A5&lt;=90),
0.057-0.106*COS(RADIANS(A5)),
IF(AND(A5&gt;90, A5&lt;=180),
-0.443+SIN(RADIANS(A5))-0.106*COS(RADIANS(A5))-0.5*SIN(RADIANS(A5))^2,
""))</f>
        <v>-79.116161915011915</v>
      </c>
      <c r="E5" s="21">
        <f t="shared" ref="E5:E40" si="3">$F$2*$C$2^2*(0.25-0.5*COS(RADIANS(A5))^2)</f>
        <v>-213.76498676442384</v>
      </c>
      <c r="F5" s="21">
        <f t="shared" ref="F5:F40" si="4">$G$2*$C$2^2*(0.25*SIN(RADIANS(A5))^2+0.083*COS(RADIANS(A5))^3-0.063*COS(RADIANS(A5))-0.125)</f>
        <v>-34.917977788161217</v>
      </c>
      <c r="G5" s="21">
        <f t="shared" ref="G5:G39" si="5">$H$2*$C$2^2*IF(AND(A5&gt;=0, A5&lt;=45),
0.2346-0.3536*COS(RADIANS(A5)),
IF(AND(A5&gt;45, A5&lt;=180),
-0.3487+0.5*SIN(RADIANS(A5))^2+0.2357*COS(RADIANS(A5))^3,
""))</f>
        <v>-0.3473629841420503</v>
      </c>
      <c r="H5" s="22">
        <f t="shared" ref="H5:H40" si="6">SUM(B5:G5)</f>
        <v>171.59242452338179</v>
      </c>
      <c r="I5" s="12"/>
      <c r="J5" s="1">
        <v>5</v>
      </c>
      <c r="K5" s="21">
        <f t="shared" ref="K5:K40" si="7">$B$2*$C$2^2*(RADIANS(J5)*SIN(RADIANS(J5))-0.5*COS(RADIANS(J5)))</f>
        <v>-48.685120851777604</v>
      </c>
      <c r="L5" s="21">
        <f t="shared" ref="L5:L40" si="8">$D$2*$C$2*IF(AND(J5&gt;=0, J5&lt;=90),
SIN(RADIANS(J5))^2-0.106*COS(RADIANS(J5)),
IF(AND(J5&gt;90, J5&lt;=180),
SIN(RADIANS(J5))-0.106*COS(RADIANS(J5)),
""))</f>
        <v>-54.479711019109864</v>
      </c>
      <c r="M5" s="21">
        <f t="shared" ref="M5:M40" si="9">IF(AND(J5&gt;=0, J5&lt;=90),
0.106*$E$2*$C$2*COS(RADIANS(J5)),
IF(AND(J5&gt;90, J5&lt;=180),
$E$2*$C$2*(SIN(RADIANS(J5))^2-SIN(RADIANS(J5))+0.106*COS(RADIANS(J5))),
""))</f>
        <v>62.513869673640698</v>
      </c>
      <c r="N5" s="21">
        <f t="shared" ref="N5:N40" si="10">$F$2*$C$2*COS(RADIANS(J5))^2</f>
        <v>313.32919491958097</v>
      </c>
      <c r="O5" s="21">
        <f t="shared" ref="O5:O40" si="11">$G$2*$C$2*COS(RADIANS(J5))*(0.063+0.5*COS(RADIANS(J5))-0.25*COS(RADIANS(J5))^2)</f>
        <v>38.140028479045903</v>
      </c>
      <c r="P5" s="21">
        <f t="shared" ref="P5:P40" si="12">IF(AND(J5&gt;=0, J5&lt;=45),
0.3536*$H$2*$C$2*COS(RADIANS(J5)),
IF(AND(J5&gt;45, J5&lt;=180),
$H$2*$C$2*(-0.7071*COS(RADIANS(J5))+COS(RADIANS(J5))^2+0.7071*SIN(RADIANS(J5))^2*COS(RADIANS(J5))),
""))</f>
        <v>0.37818037241529107</v>
      </c>
      <c r="Q5" s="22">
        <f t="shared" ref="Q5:Q40" si="13">SUM(K5:O5)</f>
        <v>310.8182612013801</v>
      </c>
      <c r="R5" s="12"/>
      <c r="S5" s="1">
        <v>5</v>
      </c>
      <c r="T5" s="21">
        <f t="shared" ref="T5:T40" si="14">IF(AND(J5&gt;=0, J5&lt;=45),
0.3536*SIN(RADIANS(S5))*$H$2,
IF(AND(J5&gt;45, J5&lt;=180),
(SIN(RADIANS(S5))*COS(RADIANS(S5))-0.7071*COS(RADIANS(S5))^2*SIN(RADIANS(S5)))*$H$2*$C$2,
""))</f>
        <v>1.2031452856127282E-2</v>
      </c>
      <c r="U5" s="21">
        <f t="shared" ref="U5:U40" si="15">-$D$2*$C$2*SIN(RADIANS(S5))*COS(RADIANS(S5))</f>
        <v>-48.266596283633703</v>
      </c>
      <c r="V5" s="21">
        <f t="shared" ref="V5:V40" si="16">$C$2*$F$2*SIN(RADIANS(S5))*COS(RADIANS(S5))</f>
        <v>27.412752507167877</v>
      </c>
      <c r="W5" s="21">
        <f t="shared" ref="W5:W40" si="17">$C$2*(SIN(RADIANS(RADIANS(S5)))+8*SIN(RADIANS(S5))*COS(RADIANS(S5))-4*SIN(RADIANS(S5))*COS(RADIANS(S5))^2)*(($G$2-$F$2)/16)</f>
        <v>-4.2324935788455029</v>
      </c>
      <c r="X5" s="21">
        <f t="shared" ref="X5:X40" si="18">IF(AND(S5&gt;=0, S5&lt;=90),
(-RADIANS(S5)*COS(RADIANS(S5))-SIN(RADIANS(S5))/6)*$B$2*$C$2,
IF(AND(S5&gt;90, S5&lt;=180),
((PI()-RADIANS(S5))*COS(RADIANS(S5))-PI()*SIN(RADIANS(S5))*COS(RADIANS(S5))-SIN(RADIANS(S5))/6)*$B$2*$C$2,
""))</f>
        <v>-3.6620843088517976</v>
      </c>
      <c r="Y5" s="25">
        <f t="shared" ref="Y5:Y40" si="19">SUM(T5:X5)</f>
        <v>-28.736390211306997</v>
      </c>
    </row>
    <row r="6" spans="1:25" x14ac:dyDescent="0.25">
      <c r="A6" s="15">
        <v>10</v>
      </c>
      <c r="B6" s="21">
        <f t="shared" si="0"/>
        <v>47.374642128438865</v>
      </c>
      <c r="C6" s="21">
        <f t="shared" si="1"/>
        <v>431.58830454514475</v>
      </c>
      <c r="D6" s="21">
        <f t="shared" si="2"/>
        <v>-77.151118830935729</v>
      </c>
      <c r="E6" s="21">
        <f t="shared" si="3"/>
        <v>-203.97217632631319</v>
      </c>
      <c r="F6" s="21">
        <f t="shared" si="4"/>
        <v>-33.715419970970217</v>
      </c>
      <c r="G6" s="21">
        <f t="shared" si="5"/>
        <v>-0.33547537057361082</v>
      </c>
      <c r="H6" s="22">
        <f t="shared" si="6"/>
        <v>163.78875617479085</v>
      </c>
      <c r="I6" s="12"/>
      <c r="J6" s="1">
        <v>10</v>
      </c>
      <c r="K6" s="21">
        <f t="shared" si="7"/>
        <v>-45.866692925470922</v>
      </c>
      <c r="L6" s="21">
        <f t="shared" si="8"/>
        <v>-41.268682665941455</v>
      </c>
      <c r="M6" s="21">
        <f t="shared" si="9"/>
        <v>61.79930855215845</v>
      </c>
      <c r="N6" s="21">
        <f t="shared" si="10"/>
        <v>306.20715096459145</v>
      </c>
      <c r="O6" s="21">
        <f t="shared" si="11"/>
        <v>37.697556430318606</v>
      </c>
      <c r="P6" s="21">
        <f t="shared" si="12"/>
        <v>0.37385760384494943</v>
      </c>
      <c r="Q6" s="22">
        <f t="shared" si="13"/>
        <v>318.56864035565616</v>
      </c>
      <c r="R6" s="12"/>
      <c r="S6" s="1">
        <v>10</v>
      </c>
      <c r="T6" s="21">
        <f t="shared" si="14"/>
        <v>2.3971339091229574E-2</v>
      </c>
      <c r="U6" s="21">
        <f t="shared" si="15"/>
        <v>-95.066636463265397</v>
      </c>
      <c r="V6" s="21">
        <f t="shared" si="16"/>
        <v>53.992582400927532</v>
      </c>
      <c r="W6" s="21">
        <f t="shared" si="17"/>
        <v>-8.4310990989970147</v>
      </c>
      <c r="X6" s="21">
        <f t="shared" si="18"/>
        <v>-7.2484458020778808</v>
      </c>
      <c r="Y6" s="25">
        <f t="shared" si="19"/>
        <v>-56.72962762432153</v>
      </c>
    </row>
    <row r="7" spans="1:25" x14ac:dyDescent="0.25">
      <c r="A7" s="15">
        <v>15</v>
      </c>
      <c r="B7" s="21">
        <f t="shared" si="0"/>
        <v>44.594393102864657</v>
      </c>
      <c r="C7" s="21">
        <f t="shared" si="1"/>
        <v>400.37365460527292</v>
      </c>
      <c r="D7" s="21">
        <f t="shared" si="2"/>
        <v>-73.892668099666707</v>
      </c>
      <c r="E7" s="21">
        <f t="shared" si="3"/>
        <v>-187.9817745254291</v>
      </c>
      <c r="F7" s="21">
        <f t="shared" si="4"/>
        <v>-31.722367747309256</v>
      </c>
      <c r="G7" s="21">
        <f t="shared" si="5"/>
        <v>-0.31576323121187505</v>
      </c>
      <c r="H7" s="22">
        <f t="shared" si="6"/>
        <v>151.05547410452064</v>
      </c>
      <c r="I7" s="12"/>
      <c r="J7" s="1">
        <v>15</v>
      </c>
      <c r="K7" s="21">
        <f t="shared" si="7"/>
        <v>-41.212265157572567</v>
      </c>
      <c r="L7" s="21">
        <f t="shared" si="8"/>
        <v>-19.679769176792082</v>
      </c>
      <c r="M7" s="21">
        <f t="shared" si="9"/>
        <v>60.614417377151533</v>
      </c>
      <c r="N7" s="21">
        <f t="shared" si="10"/>
        <v>294.57776783667572</v>
      </c>
      <c r="O7" s="21">
        <f t="shared" si="11"/>
        <v>36.947295645132961</v>
      </c>
      <c r="P7" s="21">
        <f t="shared" si="12"/>
        <v>0.3666895531679546</v>
      </c>
      <c r="Q7" s="22">
        <f t="shared" si="13"/>
        <v>331.24744652459555</v>
      </c>
      <c r="R7" s="12"/>
      <c r="S7" s="1">
        <v>15</v>
      </c>
      <c r="T7" s="21">
        <f t="shared" si="14"/>
        <v>3.5728788961557324E-2</v>
      </c>
      <c r="U7" s="21">
        <f t="shared" si="15"/>
        <v>-138.97812499999998</v>
      </c>
      <c r="V7" s="21">
        <f t="shared" si="16"/>
        <v>78.931875000000005</v>
      </c>
      <c r="W7" s="21">
        <f t="shared" si="17"/>
        <v>-12.555089192572218</v>
      </c>
      <c r="X7" s="21">
        <f t="shared" si="18"/>
        <v>-10.684302144102814</v>
      </c>
      <c r="Y7" s="25">
        <f t="shared" si="19"/>
        <v>-83.24991254771345</v>
      </c>
    </row>
    <row r="8" spans="1:25" x14ac:dyDescent="0.25">
      <c r="A8" s="15">
        <v>20</v>
      </c>
      <c r="B8" s="21">
        <f t="shared" si="0"/>
        <v>40.771748249733896</v>
      </c>
      <c r="C8" s="21">
        <f t="shared" si="1"/>
        <v>357.91089543254441</v>
      </c>
      <c r="D8" s="21">
        <f t="shared" si="2"/>
        <v>-69.365608498776126</v>
      </c>
      <c r="E8" s="21">
        <f t="shared" si="3"/>
        <v>-166.27964162895742</v>
      </c>
      <c r="F8" s="21">
        <f t="shared" si="4"/>
        <v>-28.957381574880202</v>
      </c>
      <c r="G8" s="21">
        <f t="shared" si="5"/>
        <v>-0.28837658733990063</v>
      </c>
      <c r="H8" s="22">
        <f t="shared" si="6"/>
        <v>133.79163539232465</v>
      </c>
      <c r="I8" s="12"/>
      <c r="J8" s="1">
        <v>20</v>
      </c>
      <c r="K8" s="21">
        <f t="shared" si="7"/>
        <v>-34.785769711335199</v>
      </c>
      <c r="L8" s="21">
        <f t="shared" si="8"/>
        <v>9.6564006077300473</v>
      </c>
      <c r="M8" s="21">
        <f t="shared" si="9"/>
        <v>58.968213885918594</v>
      </c>
      <c r="N8" s="21">
        <f t="shared" si="10"/>
        <v>278.7943984574236</v>
      </c>
      <c r="O8" s="21">
        <f t="shared" si="11"/>
        <v>35.87271049944907</v>
      </c>
      <c r="P8" s="21">
        <f t="shared" si="12"/>
        <v>0.3567307735781457</v>
      </c>
      <c r="Q8" s="22">
        <f t="shared" si="13"/>
        <v>348.50595373918611</v>
      </c>
      <c r="R8" s="12"/>
      <c r="S8" s="1">
        <v>20</v>
      </c>
      <c r="T8" s="21">
        <f t="shared" si="14"/>
        <v>4.721432117425501E-2</v>
      </c>
      <c r="U8" s="21">
        <f t="shared" si="15"/>
        <v>-178.66683353493417</v>
      </c>
      <c r="V8" s="21">
        <f t="shared" si="16"/>
        <v>101.47286251865343</v>
      </c>
      <c r="W8" s="21">
        <f t="shared" si="17"/>
        <v>-16.550812994520093</v>
      </c>
      <c r="X8" s="21">
        <f t="shared" si="18"/>
        <v>-13.896742030172813</v>
      </c>
      <c r="Y8" s="25">
        <f t="shared" si="19"/>
        <v>-107.59431171979938</v>
      </c>
    </row>
    <row r="9" spans="1:25" x14ac:dyDescent="0.25">
      <c r="A9" s="15">
        <v>25</v>
      </c>
      <c r="B9" s="21">
        <f t="shared" si="0"/>
        <v>35.975408799529134</v>
      </c>
      <c r="C9" s="21">
        <f t="shared" si="1"/>
        <v>305.39342349871936</v>
      </c>
      <c r="D9" s="21">
        <f t="shared" si="2"/>
        <v>-63.604393685340106</v>
      </c>
      <c r="E9" s="21">
        <f t="shared" si="3"/>
        <v>-139.52518596314843</v>
      </c>
      <c r="F9" s="21">
        <f t="shared" si="4"/>
        <v>-25.449732707721893</v>
      </c>
      <c r="G9" s="21">
        <f t="shared" si="5"/>
        <v>-0.25352386785406117</v>
      </c>
      <c r="H9" s="22">
        <f t="shared" si="6"/>
        <v>112.53599607418403</v>
      </c>
      <c r="I9" s="12"/>
      <c r="J9" s="1">
        <v>25</v>
      </c>
      <c r="K9" s="21">
        <f t="shared" si="7"/>
        <v>-26.675724692502865</v>
      </c>
      <c r="L9" s="21">
        <f t="shared" si="8"/>
        <v>45.883666732998627</v>
      </c>
      <c r="M9" s="21">
        <f t="shared" si="9"/>
        <v>56.873226681032769</v>
      </c>
      <c r="N9" s="21">
        <f t="shared" si="10"/>
        <v>259.33661251865345</v>
      </c>
      <c r="O9" s="21">
        <f t="shared" si="11"/>
        <v>34.455757224870382</v>
      </c>
      <c r="P9" s="21">
        <f t="shared" si="12"/>
        <v>0.3440570574014768</v>
      </c>
      <c r="Q9" s="22">
        <f t="shared" si="13"/>
        <v>369.87353846505232</v>
      </c>
      <c r="R9" s="12"/>
      <c r="S9" s="1">
        <v>25</v>
      </c>
      <c r="T9" s="21">
        <f t="shared" si="14"/>
        <v>5.8340523894030022E-2</v>
      </c>
      <c r="U9" s="21">
        <f t="shared" si="15"/>
        <v>-212.92684074268945</v>
      </c>
      <c r="V9" s="21">
        <f t="shared" si="16"/>
        <v>120.93064845742359</v>
      </c>
      <c r="W9" s="21">
        <f t="shared" si="17"/>
        <v>-20.347061870524598</v>
      </c>
      <c r="X9" s="21">
        <f t="shared" si="18"/>
        <v>-16.81563597523105</v>
      </c>
      <c r="Y9" s="25">
        <f t="shared" si="19"/>
        <v>-129.10054960712748</v>
      </c>
    </row>
    <row r="10" spans="1:25" x14ac:dyDescent="0.25">
      <c r="A10" s="15">
        <v>30</v>
      </c>
      <c r="B10" s="21">
        <f t="shared" si="0"/>
        <v>30.292284378680936</v>
      </c>
      <c r="C10" s="21">
        <f t="shared" si="1"/>
        <v>244.2937497325039</v>
      </c>
      <c r="D10" s="21">
        <f t="shared" si="2"/>
        <v>-56.652869982805527</v>
      </c>
      <c r="E10" s="21">
        <f t="shared" si="3"/>
        <v>-108.53132812500004</v>
      </c>
      <c r="F10" s="21">
        <f t="shared" si="4"/>
        <v>-21.242235218993759</v>
      </c>
      <c r="G10" s="21">
        <f t="shared" si="5"/>
        <v>-0.21147032299429142</v>
      </c>
      <c r="H10" s="22">
        <f t="shared" si="6"/>
        <v>87.948130461391244</v>
      </c>
      <c r="I10" s="12"/>
      <c r="J10" s="1">
        <v>30</v>
      </c>
      <c r="K10" s="21">
        <f t="shared" si="7"/>
        <v>-16.99425902775355</v>
      </c>
      <c r="L10" s="21">
        <f t="shared" si="8"/>
        <v>87.946084188180393</v>
      </c>
      <c r="M10" s="21">
        <f t="shared" si="9"/>
        <v>54.345399880111103</v>
      </c>
      <c r="N10" s="21">
        <f t="shared" si="10"/>
        <v>236.79562500000006</v>
      </c>
      <c r="O10" s="21">
        <f t="shared" si="11"/>
        <v>32.681437689831391</v>
      </c>
      <c r="P10" s="21">
        <f t="shared" si="12"/>
        <v>0.32876485927065147</v>
      </c>
      <c r="Q10" s="22">
        <f t="shared" si="13"/>
        <v>394.77428773036939</v>
      </c>
      <c r="R10" s="12"/>
      <c r="S10" s="1">
        <v>30</v>
      </c>
      <c r="T10" s="21">
        <f t="shared" si="14"/>
        <v>6.9022719999999996E-2</v>
      </c>
      <c r="U10" s="21">
        <f t="shared" si="15"/>
        <v>-240.71717364065836</v>
      </c>
      <c r="V10" s="21">
        <f t="shared" si="16"/>
        <v>136.71401783667568</v>
      </c>
      <c r="W10" s="21">
        <f t="shared" si="17"/>
        <v>-23.852463583595913</v>
      </c>
      <c r="X10" s="21">
        <f t="shared" si="18"/>
        <v>-19.374517700707202</v>
      </c>
      <c r="Y10" s="25">
        <f t="shared" si="19"/>
        <v>-147.16111436828581</v>
      </c>
    </row>
    <row r="11" spans="1:25" x14ac:dyDescent="0.25">
      <c r="A11" s="15">
        <v>35</v>
      </c>
      <c r="B11" s="21">
        <f t="shared" si="0"/>
        <v>23.826447950269106</v>
      </c>
      <c r="C11" s="21">
        <f t="shared" si="1"/>
        <v>176.31969569125445</v>
      </c>
      <c r="D11" s="21">
        <f t="shared" si="2"/>
        <v>-48.563942683993417</v>
      </c>
      <c r="E11" s="21">
        <f t="shared" si="3"/>
        <v>-74.239800801275351</v>
      </c>
      <c r="F11" s="21">
        <f t="shared" si="4"/>
        <v>-16.394278920604915</v>
      </c>
      <c r="G11" s="21">
        <f t="shared" si="5"/>
        <v>-0.16253600562959866</v>
      </c>
      <c r="H11" s="22">
        <f t="shared" si="6"/>
        <v>60.785585230020281</v>
      </c>
      <c r="I11" s="12"/>
      <c r="J11" s="1">
        <v>35</v>
      </c>
      <c r="K11" s="21">
        <f t="shared" si="7"/>
        <v>-5.8758754712975545</v>
      </c>
      <c r="L11" s="21">
        <f t="shared" si="8"/>
        <v>134.61966628972931</v>
      </c>
      <c r="M11" s="21">
        <f t="shared" si="9"/>
        <v>51.403971771452156</v>
      </c>
      <c r="N11" s="21">
        <f t="shared" si="10"/>
        <v>211.85633240092753</v>
      </c>
      <c r="O11" s="21">
        <f t="shared" si="11"/>
        <v>30.542912164557755</v>
      </c>
      <c r="P11" s="21">
        <f t="shared" si="12"/>
        <v>0.31097056204712681</v>
      </c>
      <c r="Q11" s="22">
        <f t="shared" si="13"/>
        <v>422.54700715536922</v>
      </c>
      <c r="R11" s="12"/>
      <c r="S11" s="1">
        <v>35</v>
      </c>
      <c r="T11" s="21">
        <f t="shared" si="14"/>
        <v>7.917961152971216E-2</v>
      </c>
      <c r="U11" s="21">
        <f t="shared" si="15"/>
        <v>-261.19343702632312</v>
      </c>
      <c r="V11" s="21">
        <f t="shared" si="16"/>
        <v>148.34340096459144</v>
      </c>
      <c r="W11" s="21">
        <f t="shared" si="17"/>
        <v>-26.955319660539633</v>
      </c>
      <c r="X11" s="21">
        <f t="shared" si="18"/>
        <v>-21.51142676544017</v>
      </c>
      <c r="Y11" s="25">
        <f t="shared" si="19"/>
        <v>-161.2376028761818</v>
      </c>
    </row>
    <row r="12" spans="1:25" x14ac:dyDescent="0.25">
      <c r="A12" s="15">
        <v>40</v>
      </c>
      <c r="B12" s="21">
        <f t="shared" si="0"/>
        <v>16.697880871742925</v>
      </c>
      <c r="C12" s="21">
        <f t="shared" si="1"/>
        <v>103.36363366798435</v>
      </c>
      <c r="D12" s="21">
        <f t="shared" si="2"/>
        <v>-39.399173409875601</v>
      </c>
      <c r="E12" s="21">
        <f t="shared" si="3"/>
        <v>-37.692534697355818</v>
      </c>
      <c r="F12" s="21">
        <f t="shared" si="4"/>
        <v>-10.984675772782538</v>
      </c>
      <c r="G12" s="21">
        <f t="shared" si="5"/>
        <v>-0.10709333546247683</v>
      </c>
      <c r="H12" s="22">
        <f t="shared" si="6"/>
        <v>31.878037324250837</v>
      </c>
      <c r="I12" s="12"/>
      <c r="J12" s="1">
        <v>40</v>
      </c>
      <c r="K12" s="21">
        <f t="shared" si="7"/>
        <v>6.5240359264866443</v>
      </c>
      <c r="L12" s="21">
        <f t="shared" si="8"/>
        <v>184.54916347891609</v>
      </c>
      <c r="M12" s="21">
        <f t="shared" si="9"/>
        <v>48.071328399045676</v>
      </c>
      <c r="N12" s="21">
        <f t="shared" si="10"/>
        <v>185.27650250716789</v>
      </c>
      <c r="O12" s="21">
        <f t="shared" si="11"/>
        <v>28.046693015906712</v>
      </c>
      <c r="P12" s="21">
        <f t="shared" si="12"/>
        <v>0.29080959107726434</v>
      </c>
      <c r="Q12" s="22">
        <f t="shared" si="13"/>
        <v>452.467723327523</v>
      </c>
      <c r="R12" s="12"/>
      <c r="S12" s="1">
        <v>40</v>
      </c>
      <c r="T12" s="21">
        <f t="shared" si="14"/>
        <v>8.8733898405726583E-2</v>
      </c>
      <c r="U12" s="21">
        <f t="shared" si="15"/>
        <v>-273.73346999819955</v>
      </c>
      <c r="V12" s="21">
        <f t="shared" si="16"/>
        <v>155.46544491958093</v>
      </c>
      <c r="W12" s="21">
        <f t="shared" si="17"/>
        <v>-29.526101405747518</v>
      </c>
      <c r="X12" s="21">
        <f t="shared" si="18"/>
        <v>-23.169703464686386</v>
      </c>
      <c r="Y12" s="25">
        <f t="shared" si="19"/>
        <v>-170.87509605064679</v>
      </c>
    </row>
    <row r="13" spans="1:25" x14ac:dyDescent="0.25">
      <c r="A13" s="15">
        <v>45</v>
      </c>
      <c r="B13" s="21">
        <f t="shared" si="0"/>
        <v>9.0410211433570478</v>
      </c>
      <c r="C13" s="21">
        <f t="shared" si="1"/>
        <v>27.446304436690976</v>
      </c>
      <c r="D13" s="21">
        <f t="shared" si="2"/>
        <v>-29.228311588467104</v>
      </c>
      <c r="E13" s="21">
        <f t="shared" si="3"/>
        <v>-4.8197591751009129E-14</v>
      </c>
      <c r="F13" s="21">
        <f t="shared" si="4"/>
        <v>-5.1139164496939182</v>
      </c>
      <c r="G13" s="21">
        <f t="shared" si="5"/>
        <v>-4.5564264690097708E-2</v>
      </c>
      <c r="H13" s="22">
        <f t="shared" si="6"/>
        <v>2.0995332771968545</v>
      </c>
      <c r="I13" s="12"/>
      <c r="J13" s="1">
        <v>45</v>
      </c>
      <c r="K13" s="21">
        <f t="shared" si="7"/>
        <v>20.030919052150093</v>
      </c>
      <c r="L13" s="21">
        <f t="shared" si="8"/>
        <v>236.28876315938507</v>
      </c>
      <c r="M13" s="21">
        <f t="shared" si="9"/>
        <v>44.372833191260767</v>
      </c>
      <c r="N13" s="21">
        <f t="shared" si="10"/>
        <v>157.86375000000004</v>
      </c>
      <c r="O13" s="21">
        <f t="shared" si="11"/>
        <v>25.217415308566213</v>
      </c>
      <c r="P13" s="21">
        <f t="shared" si="12"/>
        <v>0.26843538352367191</v>
      </c>
      <c r="Q13" s="22">
        <f t="shared" si="13"/>
        <v>483.7736807113622</v>
      </c>
      <c r="R13" s="12"/>
      <c r="S13" s="1">
        <v>45</v>
      </c>
      <c r="T13" s="21">
        <f t="shared" si="14"/>
        <v>9.7612866735880668E-2</v>
      </c>
      <c r="U13" s="21">
        <f t="shared" si="15"/>
        <v>-277.95625000000001</v>
      </c>
      <c r="V13" s="21">
        <f t="shared" si="16"/>
        <v>157.86375000000001</v>
      </c>
      <c r="W13" s="21">
        <f t="shared" si="17"/>
        <v>-31.422599726314733</v>
      </c>
      <c r="X13" s="21">
        <f t="shared" si="18"/>
        <v>-24.298727486719514</v>
      </c>
      <c r="Y13" s="25">
        <f t="shared" si="19"/>
        <v>-175.71621434629839</v>
      </c>
    </row>
    <row r="14" spans="1:25" x14ac:dyDescent="0.25">
      <c r="A14" s="15">
        <v>50</v>
      </c>
      <c r="B14" s="21">
        <f t="shared" si="0"/>
        <v>1.0031299952602217</v>
      </c>
      <c r="C14" s="21">
        <f t="shared" si="1"/>
        <v>-49.343090314129739</v>
      </c>
      <c r="D14" s="21">
        <f t="shared" si="2"/>
        <v>-18.128763619563117</v>
      </c>
      <c r="E14" s="21">
        <f t="shared" si="3"/>
        <v>37.692534697355818</v>
      </c>
      <c r="F14" s="21">
        <f t="shared" si="4"/>
        <v>1.0945483528465358</v>
      </c>
      <c r="G14" s="21">
        <f t="shared" si="5"/>
        <v>2.1582862408446479E-2</v>
      </c>
      <c r="H14" s="22">
        <f t="shared" si="6"/>
        <v>-27.660058025821829</v>
      </c>
      <c r="I14" s="12"/>
      <c r="J14" s="1">
        <v>50</v>
      </c>
      <c r="K14" s="21">
        <f t="shared" si="7"/>
        <v>34.452990465150073</v>
      </c>
      <c r="L14" s="21">
        <f t="shared" si="8"/>
        <v>288.34547757422769</v>
      </c>
      <c r="M14" s="21">
        <f t="shared" si="9"/>
        <v>40.336633929841135</v>
      </c>
      <c r="N14" s="21">
        <f t="shared" si="10"/>
        <v>130.45099749283213</v>
      </c>
      <c r="O14" s="21">
        <f t="shared" si="11"/>
        <v>22.101693276978548</v>
      </c>
      <c r="P14" s="21">
        <f t="shared" si="12"/>
        <v>0.24196927007658969</v>
      </c>
      <c r="Q14" s="22">
        <f t="shared" si="13"/>
        <v>515.68779273902953</v>
      </c>
      <c r="R14" s="12"/>
      <c r="S14" s="1">
        <v>50</v>
      </c>
      <c r="T14" s="21">
        <f t="shared" si="14"/>
        <v>0.28836774691117451</v>
      </c>
      <c r="U14" s="21">
        <f t="shared" si="15"/>
        <v>-273.73346999819961</v>
      </c>
      <c r="V14" s="21">
        <f t="shared" si="16"/>
        <v>155.46544491958096</v>
      </c>
      <c r="W14" s="21">
        <f t="shared" si="17"/>
        <v>-32.497498882480585</v>
      </c>
      <c r="X14" s="21">
        <f t="shared" si="18"/>
        <v>-24.854592365579364</v>
      </c>
      <c r="Y14" s="25">
        <f t="shared" si="19"/>
        <v>-175.33174857976746</v>
      </c>
    </row>
    <row r="15" spans="1:25" x14ac:dyDescent="0.25">
      <c r="A15" s="15">
        <v>55</v>
      </c>
      <c r="B15" s="21">
        <f t="shared" si="0"/>
        <v>-7.257506111068901</v>
      </c>
      <c r="C15" s="21">
        <f t="shared" si="1"/>
        <v>-124.90871195081014</v>
      </c>
      <c r="D15" s="21">
        <f t="shared" si="2"/>
        <v>-6.1850037652973038</v>
      </c>
      <c r="E15" s="21">
        <f t="shared" si="3"/>
        <v>74.239800801275322</v>
      </c>
      <c r="F15" s="21">
        <f t="shared" si="4"/>
        <v>7.4943360592135662</v>
      </c>
      <c r="G15" s="21">
        <f t="shared" si="5"/>
        <v>9.2356478001733383E-2</v>
      </c>
      <c r="H15" s="22">
        <f t="shared" si="6"/>
        <v>-56.524728488685724</v>
      </c>
      <c r="I15" s="12"/>
      <c r="J15" s="1">
        <v>55</v>
      </c>
      <c r="K15" s="21">
        <f t="shared" si="7"/>
        <v>49.583376237318582</v>
      </c>
      <c r="L15" s="21">
        <f t="shared" si="8"/>
        <v>339.2239055319273</v>
      </c>
      <c r="M15" s="21">
        <f t="shared" si="9"/>
        <v>35.993448528289932</v>
      </c>
      <c r="N15" s="21">
        <f t="shared" si="10"/>
        <v>103.87116759907249</v>
      </c>
      <c r="O15" s="21">
        <f t="shared" si="11"/>
        <v>18.770623182120712</v>
      </c>
      <c r="P15" s="21">
        <f t="shared" si="12"/>
        <v>0.20995272501217313</v>
      </c>
      <c r="Q15" s="22">
        <f t="shared" si="13"/>
        <v>547.4425210787291</v>
      </c>
      <c r="R15" s="12"/>
      <c r="S15" s="1">
        <v>55</v>
      </c>
      <c r="T15" s="21">
        <f t="shared" si="14"/>
        <v>0.29984356573621024</v>
      </c>
      <c r="U15" s="21">
        <f t="shared" si="15"/>
        <v>-261.19343702632318</v>
      </c>
      <c r="V15" s="21">
        <f t="shared" si="16"/>
        <v>148.34340096459147</v>
      </c>
      <c r="W15" s="21">
        <f t="shared" si="17"/>
        <v>-32.607931144179865</v>
      </c>
      <c r="X15" s="21">
        <f t="shared" si="18"/>
        <v>-24.800708395978354</v>
      </c>
      <c r="Y15" s="25">
        <f t="shared" si="19"/>
        <v>-169.95883203615375</v>
      </c>
    </row>
    <row r="16" spans="1:25" x14ac:dyDescent="0.25">
      <c r="A16" s="15">
        <v>60</v>
      </c>
      <c r="B16" s="21">
        <f t="shared" si="0"/>
        <v>-15.573519228889589</v>
      </c>
      <c r="C16" s="21">
        <f t="shared" si="1"/>
        <v>-197.2099593749999</v>
      </c>
      <c r="D16" s="21">
        <f t="shared" si="2"/>
        <v>6.5120687499999832</v>
      </c>
      <c r="E16" s="21">
        <f t="shared" si="3"/>
        <v>108.53132812499996</v>
      </c>
      <c r="F16" s="21">
        <f t="shared" si="4"/>
        <v>13.917722499999989</v>
      </c>
      <c r="G16" s="21">
        <f t="shared" si="5"/>
        <v>0.16463320499999987</v>
      </c>
      <c r="H16" s="22">
        <f t="shared" si="6"/>
        <v>-83.657726023889552</v>
      </c>
      <c r="I16" s="12"/>
      <c r="J16" s="1">
        <v>60</v>
      </c>
      <c r="K16" s="21">
        <f t="shared" si="7"/>
        <v>65.20242547888958</v>
      </c>
      <c r="L16" s="21">
        <f t="shared" si="8"/>
        <v>387.47101249999992</v>
      </c>
      <c r="M16" s="21">
        <f t="shared" si="9"/>
        <v>31.376331250000007</v>
      </c>
      <c r="N16" s="21">
        <f t="shared" si="10"/>
        <v>78.931875000000034</v>
      </c>
      <c r="O16" s="21">
        <f t="shared" si="11"/>
        <v>15.320580000000007</v>
      </c>
      <c r="P16" s="21">
        <f t="shared" si="12"/>
        <v>0.17350718000000012</v>
      </c>
      <c r="Q16" s="22">
        <f t="shared" si="13"/>
        <v>578.3022242288896</v>
      </c>
      <c r="R16" s="12"/>
      <c r="S16" s="1">
        <v>60</v>
      </c>
      <c r="T16" s="21">
        <f t="shared" si="14"/>
        <v>0.30052325123799861</v>
      </c>
      <c r="U16" s="21">
        <f t="shared" si="15"/>
        <v>-240.71717364065842</v>
      </c>
      <c r="V16" s="21">
        <f t="shared" si="16"/>
        <v>136.71401783667571</v>
      </c>
      <c r="W16" s="21">
        <f t="shared" si="17"/>
        <v>-31.626384103805311</v>
      </c>
      <c r="X16" s="21">
        <f t="shared" si="18"/>
        <v>-24.108327376391866</v>
      </c>
      <c r="Y16" s="25">
        <f t="shared" si="19"/>
        <v>-159.43734403294189</v>
      </c>
    </row>
    <row r="17" spans="1:25" x14ac:dyDescent="0.25">
      <c r="A17" s="15">
        <v>65</v>
      </c>
      <c r="B17" s="21">
        <f t="shared" si="0"/>
        <v>-23.770529001764302</v>
      </c>
      <c r="C17" s="21">
        <f t="shared" si="1"/>
        <v>-264.32152773921081</v>
      </c>
      <c r="D17" s="21">
        <f t="shared" si="2"/>
        <v>19.865821537785379</v>
      </c>
      <c r="E17" s="21">
        <f t="shared" si="3"/>
        <v>139.52518596314843</v>
      </c>
      <c r="F17" s="21">
        <f t="shared" si="4"/>
        <v>20.178940584103835</v>
      </c>
      <c r="G17" s="21">
        <f t="shared" si="5"/>
        <v>0.23556628702313689</v>
      </c>
      <c r="H17" s="22">
        <f t="shared" si="6"/>
        <v>-108.28654236891434</v>
      </c>
      <c r="I17" s="12"/>
      <c r="J17" s="1">
        <v>65</v>
      </c>
      <c r="K17" s="21">
        <f t="shared" si="7"/>
        <v>81.080177318830025</v>
      </c>
      <c r="L17" s="21">
        <f t="shared" si="8"/>
        <v>431.7195734453619</v>
      </c>
      <c r="M17" s="21">
        <f t="shared" si="9"/>
        <v>26.520421145350774</v>
      </c>
      <c r="N17" s="21">
        <f t="shared" si="10"/>
        <v>56.390887481346581</v>
      </c>
      <c r="O17" s="21">
        <f t="shared" si="11"/>
        <v>11.87207194863832</v>
      </c>
      <c r="P17" s="21">
        <f t="shared" si="12"/>
        <v>0.13444983041462683</v>
      </c>
      <c r="Q17" s="22">
        <f t="shared" si="13"/>
        <v>607.58313133952754</v>
      </c>
      <c r="R17" s="12"/>
      <c r="S17" s="1">
        <v>65</v>
      </c>
      <c r="T17" s="21">
        <f t="shared" si="14"/>
        <v>0.28832859178550385</v>
      </c>
      <c r="U17" s="21">
        <f t="shared" si="15"/>
        <v>-212.92684074268945</v>
      </c>
      <c r="V17" s="21">
        <f t="shared" si="16"/>
        <v>120.93064845742357</v>
      </c>
      <c r="W17" s="21">
        <f t="shared" si="17"/>
        <v>-29.452189221378664</v>
      </c>
      <c r="X17" s="21">
        <f t="shared" si="18"/>
        <v>-22.756983312431764</v>
      </c>
      <c r="Y17" s="25">
        <f t="shared" si="19"/>
        <v>-143.91703622729079</v>
      </c>
    </row>
    <row r="18" spans="1:25" x14ac:dyDescent="0.25">
      <c r="A18" s="15">
        <v>70</v>
      </c>
      <c r="B18" s="21">
        <f t="shared" si="0"/>
        <v>-31.669315268959785</v>
      </c>
      <c r="C18" s="21">
        <f t="shared" si="1"/>
        <v>-324.4898413381141</v>
      </c>
      <c r="D18" s="21">
        <f t="shared" si="2"/>
        <v>33.774624476127364</v>
      </c>
      <c r="E18" s="21">
        <f t="shared" si="3"/>
        <v>166.27964162895739</v>
      </c>
      <c r="F18" s="21">
        <f t="shared" si="4"/>
        <v>26.079209444692349</v>
      </c>
      <c r="G18" s="21">
        <f t="shared" si="5"/>
        <v>0.30185684417879288</v>
      </c>
      <c r="H18" s="22">
        <f t="shared" si="6"/>
        <v>-129.72382421311801</v>
      </c>
      <c r="I18" s="12"/>
      <c r="J18" s="1">
        <v>70</v>
      </c>
      <c r="K18" s="21">
        <f t="shared" si="7"/>
        <v>96.978956511517424</v>
      </c>
      <c r="L18" s="21">
        <f t="shared" si="8"/>
        <v>470.7289638124771</v>
      </c>
      <c r="M18" s="21">
        <f t="shared" si="9"/>
        <v>21.462674622317323</v>
      </c>
      <c r="N18" s="21">
        <f t="shared" si="10"/>
        <v>36.933101542576452</v>
      </c>
      <c r="O18" s="21">
        <f t="shared" si="11"/>
        <v>8.5665551018700103</v>
      </c>
      <c r="P18" s="21">
        <f t="shared" si="12"/>
        <v>9.5214993065359396E-2</v>
      </c>
      <c r="Q18" s="22">
        <f t="shared" si="13"/>
        <v>634.67025159075831</v>
      </c>
      <c r="R18" s="12"/>
      <c r="S18" s="1">
        <v>70</v>
      </c>
      <c r="T18" s="21">
        <f t="shared" si="14"/>
        <v>0.26160104344060342</v>
      </c>
      <c r="U18" s="21">
        <f t="shared" si="15"/>
        <v>-178.66683353493417</v>
      </c>
      <c r="V18" s="21">
        <f t="shared" si="16"/>
        <v>101.47286251865344</v>
      </c>
      <c r="W18" s="21">
        <f t="shared" si="17"/>
        <v>-26.022730372851235</v>
      </c>
      <c r="X18" s="21">
        <f t="shared" si="18"/>
        <v>-20.734844037598535</v>
      </c>
      <c r="Y18" s="25">
        <f t="shared" si="19"/>
        <v>-123.6899443832899</v>
      </c>
    </row>
    <row r="19" spans="1:25" x14ac:dyDescent="0.25">
      <c r="A19" s="15">
        <v>75</v>
      </c>
      <c r="B19" s="21">
        <f t="shared" si="0"/>
        <v>-39.088071231342013</v>
      </c>
      <c r="C19" s="21">
        <f t="shared" si="1"/>
        <v>-376.18416171822855</v>
      </c>
      <c r="D19" s="21">
        <f t="shared" si="2"/>
        <v>48.132623176300413</v>
      </c>
      <c r="E19" s="21">
        <f t="shared" si="3"/>
        <v>187.98177452542907</v>
      </c>
      <c r="F19" s="21">
        <f t="shared" si="4"/>
        <v>31.413382987430243</v>
      </c>
      <c r="G19" s="21">
        <f t="shared" si="5"/>
        <v>0.35987636342928747</v>
      </c>
      <c r="H19" s="22">
        <f t="shared" si="6"/>
        <v>-147.38457589698157</v>
      </c>
      <c r="I19" s="12"/>
      <c r="J19" s="1">
        <v>75</v>
      </c>
      <c r="K19" s="21">
        <f t="shared" si="7"/>
        <v>112.65607148112697</v>
      </c>
      <c r="L19" s="21">
        <f t="shared" si="8"/>
        <v>503.4220649451396</v>
      </c>
      <c r="M19" s="21">
        <f t="shared" si="9"/>
        <v>16.241584185890762</v>
      </c>
      <c r="N19" s="21">
        <f t="shared" si="10"/>
        <v>21.14973216332432</v>
      </c>
      <c r="O19" s="21">
        <f t="shared" si="11"/>
        <v>5.561260667623948</v>
      </c>
      <c r="P19" s="21">
        <f t="shared" si="12"/>
        <v>5.8755861907429922E-2</v>
      </c>
      <c r="Q19" s="22">
        <f t="shared" si="13"/>
        <v>659.0307134431057</v>
      </c>
      <c r="R19" s="12"/>
      <c r="S19" s="1">
        <v>75</v>
      </c>
      <c r="T19" s="21">
        <f t="shared" si="14"/>
        <v>0.21927986188102924</v>
      </c>
      <c r="U19" s="21">
        <f t="shared" si="15"/>
        <v>-138.97812500000001</v>
      </c>
      <c r="V19" s="21">
        <f t="shared" si="16"/>
        <v>78.931875000000005</v>
      </c>
      <c r="W19" s="21">
        <f t="shared" si="17"/>
        <v>-21.323482386091392</v>
      </c>
      <c r="X19" s="21">
        <f t="shared" si="18"/>
        <v>-18.038969584736339</v>
      </c>
      <c r="Y19" s="25">
        <f t="shared" si="19"/>
        <v>-99.189422108946687</v>
      </c>
    </row>
    <row r="20" spans="1:25" x14ac:dyDescent="0.25">
      <c r="A20" s="15">
        <v>80</v>
      </c>
      <c r="B20" s="21">
        <f t="shared" si="0"/>
        <v>-45.844713262520976</v>
      </c>
      <c r="C20" s="21">
        <f t="shared" si="1"/>
        <v>-418.14083465283579</v>
      </c>
      <c r="D20" s="21">
        <f t="shared" si="2"/>
        <v>62.830544598599474</v>
      </c>
      <c r="E20" s="21">
        <f t="shared" si="3"/>
        <v>203.97217632631322</v>
      </c>
      <c r="F20" s="21">
        <f t="shared" si="4"/>
        <v>35.977974141992775</v>
      </c>
      <c r="G20" s="21">
        <f t="shared" si="5"/>
        <v>0.40582896736879709</v>
      </c>
      <c r="H20" s="22">
        <f t="shared" si="6"/>
        <v>-160.79902388108252</v>
      </c>
      <c r="I20" s="12"/>
      <c r="J20" s="1">
        <v>80</v>
      </c>
      <c r="K20" s="21">
        <f t="shared" si="7"/>
        <v>127.86658750269009</v>
      </c>
      <c r="L20" s="21">
        <f t="shared" si="8"/>
        <v>528.91716861419275</v>
      </c>
      <c r="M20" s="21">
        <f t="shared" si="9"/>
        <v>10.896885486872922</v>
      </c>
      <c r="N20" s="21">
        <f t="shared" si="10"/>
        <v>9.5203490354085627</v>
      </c>
      <c r="O20" s="21">
        <f t="shared" si="11"/>
        <v>3.0222393423856677</v>
      </c>
      <c r="P20" s="21">
        <f t="shared" si="12"/>
        <v>2.8398029562068144E-2</v>
      </c>
      <c r="Q20" s="22">
        <f t="shared" si="13"/>
        <v>680.22322998155005</v>
      </c>
      <c r="R20" s="12"/>
      <c r="S20" s="1">
        <v>80</v>
      </c>
      <c r="T20" s="21">
        <f t="shared" si="14"/>
        <v>0.16105322876832329</v>
      </c>
      <c r="U20" s="21">
        <f t="shared" si="15"/>
        <v>-95.066636463265439</v>
      </c>
      <c r="V20" s="21">
        <f t="shared" si="16"/>
        <v>53.99258240092756</v>
      </c>
      <c r="W20" s="21">
        <f t="shared" si="17"/>
        <v>-15.396025204443264</v>
      </c>
      <c r="X20" s="21">
        <f t="shared" si="18"/>
        <v>-14.675474060799825</v>
      </c>
      <c r="Y20" s="25">
        <f t="shared" si="19"/>
        <v>-70.984500098812646</v>
      </c>
    </row>
    <row r="21" spans="1:25" x14ac:dyDescent="0.25">
      <c r="A21" s="15">
        <v>85</v>
      </c>
      <c r="B21" s="21">
        <f t="shared" si="0"/>
        <v>-51.759222737615865</v>
      </c>
      <c r="C21" s="21">
        <f t="shared" si="1"/>
        <v>-449.39934878860396</v>
      </c>
      <c r="D21" s="21">
        <f t="shared" si="2"/>
        <v>77.756528686153331</v>
      </c>
      <c r="E21" s="21">
        <f t="shared" si="3"/>
        <v>213.76498676442381</v>
      </c>
      <c r="F21" s="21">
        <f t="shared" si="4"/>
        <v>39.580188737596316</v>
      </c>
      <c r="G21" s="21">
        <f t="shared" si="5"/>
        <v>0.43594542736944675</v>
      </c>
      <c r="H21" s="32">
        <f t="shared" si="6"/>
        <v>-169.62092191067688</v>
      </c>
      <c r="I21" s="12"/>
      <c r="J21" s="1">
        <v>85</v>
      </c>
      <c r="K21" s="21">
        <f t="shared" si="7"/>
        <v>142.36614686567057</v>
      </c>
      <c r="L21" s="21">
        <f t="shared" si="8"/>
        <v>546.55391751313755</v>
      </c>
      <c r="M21" s="21">
        <f t="shared" si="9"/>
        <v>5.4692549095806138</v>
      </c>
      <c r="N21" s="21">
        <f t="shared" si="10"/>
        <v>2.3983050804190382</v>
      </c>
      <c r="O21" s="21">
        <f t="shared" si="11"/>
        <v>1.1159696513102013</v>
      </c>
      <c r="P21" s="21">
        <f t="shared" si="12"/>
        <v>7.6526110508984826E-3</v>
      </c>
      <c r="Q21" s="28">
        <f t="shared" si="13"/>
        <v>697.90359402011802</v>
      </c>
      <c r="R21" s="12"/>
      <c r="S21" s="1">
        <v>85</v>
      </c>
      <c r="T21" s="21">
        <f t="shared" si="14"/>
        <v>8.746974456445912E-2</v>
      </c>
      <c r="U21" s="21">
        <f t="shared" si="15"/>
        <v>-48.266596283633696</v>
      </c>
      <c r="V21" s="21">
        <f t="shared" si="16"/>
        <v>27.41275250716787</v>
      </c>
      <c r="W21" s="21">
        <f t="shared" si="17"/>
        <v>-8.3432783303867417</v>
      </c>
      <c r="X21" s="21">
        <f t="shared" si="18"/>
        <v>-10.659588731289849</v>
      </c>
      <c r="Y21" s="25">
        <f t="shared" si="19"/>
        <v>-39.769241093577961</v>
      </c>
    </row>
    <row r="22" spans="1:25" x14ac:dyDescent="0.25">
      <c r="A22" s="15">
        <v>90</v>
      </c>
      <c r="B22" s="21">
        <f t="shared" si="0"/>
        <v>-56.655994780696567</v>
      </c>
      <c r="C22" s="21">
        <f t="shared" si="1"/>
        <v>-469.32912812500001</v>
      </c>
      <c r="D22" s="21">
        <f t="shared" si="2"/>
        <v>92.796979687499999</v>
      </c>
      <c r="E22" s="21">
        <f t="shared" si="3"/>
        <v>217.06265625</v>
      </c>
      <c r="F22" s="21">
        <f t="shared" si="4"/>
        <v>42.047499999999999</v>
      </c>
      <c r="G22" s="21">
        <f t="shared" si="5"/>
        <v>0.44669812000000003</v>
      </c>
      <c r="H22" s="22">
        <f t="shared" si="6"/>
        <v>-173.63128884819662</v>
      </c>
      <c r="I22" s="12"/>
      <c r="J22" s="1">
        <v>90</v>
      </c>
      <c r="K22" s="21">
        <f t="shared" si="7"/>
        <v>155.91380728069657</v>
      </c>
      <c r="L22" s="21">
        <f t="shared" si="8"/>
        <v>555.91250000000002</v>
      </c>
      <c r="M22" s="21">
        <f t="shared" si="9"/>
        <v>3.8440663751638551E-15</v>
      </c>
      <c r="N22" s="21">
        <f t="shared" si="10"/>
        <v>1.1847585533095485E-30</v>
      </c>
      <c r="O22" s="21">
        <f t="shared" si="11"/>
        <v>4.720595008639308E-16</v>
      </c>
      <c r="P22" s="21">
        <f t="shared" si="12"/>
        <v>6.6165708425412372E-33</v>
      </c>
      <c r="Q22" s="22">
        <f t="shared" si="13"/>
        <v>711.8263072806966</v>
      </c>
      <c r="R22" s="12"/>
      <c r="S22" s="1">
        <v>90</v>
      </c>
      <c r="T22" s="21">
        <f t="shared" si="14"/>
        <v>6.5765969059494729E-17</v>
      </c>
      <c r="U22" s="21">
        <f t="shared" si="15"/>
        <v>-3.4053767021969411E-14</v>
      </c>
      <c r="V22" s="21">
        <f>$C$2*$F$2*SIN(RADIANS(S22))*COS(RADIANS(S22))</f>
        <v>1.9340652939858067E-14</v>
      </c>
      <c r="W22" s="21">
        <f t="shared" si="17"/>
        <v>-0.33135701423146263</v>
      </c>
      <c r="X22" s="21">
        <f t="shared" si="18"/>
        <v>-6.0156250000000027</v>
      </c>
      <c r="Y22" s="25">
        <f t="shared" si="19"/>
        <v>-6.3469820142314797</v>
      </c>
    </row>
    <row r="23" spans="1:25" x14ac:dyDescent="0.25">
      <c r="A23" s="15">
        <v>95</v>
      </c>
      <c r="B23" s="21">
        <f t="shared" si="0"/>
        <v>-60.366168607040393</v>
      </c>
      <c r="C23" s="21">
        <f>$D$2*$C$2^2*IF(AND(A23&gt;=0, A23&lt;=90),
0.193+0.106*COS(RADIANS(A23))-0.5*SIN(RADIANS(A23))^2,
IF(AND(A23&gt;90, A23&lt;=180),
0.693+0.106*COS(RADIANS(A23))-SIN(RADIANS(A23)),
""))</f>
        <v>-477.63519399197122</v>
      </c>
      <c r="D23" s="21">
        <f t="shared" si="2"/>
        <v>107.82564358179935</v>
      </c>
      <c r="E23" s="21">
        <f t="shared" si="3"/>
        <v>213.76498676442381</v>
      </c>
      <c r="F23" s="21">
        <f t="shared" si="4"/>
        <v>43.237219251965321</v>
      </c>
      <c r="G23" s="21">
        <f t="shared" si="5"/>
        <v>0.43502401762717496</v>
      </c>
      <c r="H23" s="33">
        <f t="shared" si="6"/>
        <v>-172.73848898319596</v>
      </c>
      <c r="I23" s="12"/>
      <c r="J23" s="1">
        <v>95</v>
      </c>
      <c r="K23" s="21">
        <f t="shared" si="7"/>
        <v>168.27486947898566</v>
      </c>
      <c r="L23" s="21">
        <f t="shared" si="8"/>
        <v>558.93288758798963</v>
      </c>
      <c r="M23" s="21">
        <f t="shared" si="9"/>
        <v>-7.7134449809152859</v>
      </c>
      <c r="N23" s="21">
        <f t="shared" si="10"/>
        <v>2.3983050804190436</v>
      </c>
      <c r="O23" s="21">
        <f t="shared" si="11"/>
        <v>-0.18681182553684675</v>
      </c>
      <c r="P23" s="21">
        <f t="shared" si="12"/>
        <v>8.6577853151949512E-3</v>
      </c>
      <c r="Q23" s="22">
        <f>SUM(K23:O23)</f>
        <v>721.70580534094222</v>
      </c>
      <c r="R23" s="12"/>
      <c r="S23" s="1">
        <v>95</v>
      </c>
      <c r="T23" s="21">
        <f t="shared" si="14"/>
        <v>-9.8958938978757349E-2</v>
      </c>
      <c r="U23" s="21">
        <f t="shared" si="15"/>
        <v>48.266596283633746</v>
      </c>
      <c r="V23" s="21">
        <f t="shared" si="16"/>
        <v>-27.412752507167898</v>
      </c>
      <c r="W23" s="21">
        <f t="shared" si="17"/>
        <v>8.4123434235008432</v>
      </c>
      <c r="X23" s="21">
        <f t="shared" si="18"/>
        <v>-0.81444381950587108</v>
      </c>
      <c r="Y23" s="25">
        <f t="shared" si="19"/>
        <v>28.352784441482065</v>
      </c>
    </row>
    <row r="24" spans="1:25" x14ac:dyDescent="0.25">
      <c r="A24" s="15">
        <v>100</v>
      </c>
      <c r="B24" s="21">
        <f t="shared" si="0"/>
        <v>-62.729914160841496</v>
      </c>
      <c r="C24" s="21">
        <f t="shared" si="1"/>
        <v>-474.24326374845606</v>
      </c>
      <c r="D24" s="21">
        <f t="shared" si="2"/>
        <v>122.57553803693561</v>
      </c>
      <c r="E24" s="21">
        <f t="shared" si="3"/>
        <v>203.97217632631325</v>
      </c>
      <c r="F24" s="21">
        <f t="shared" si="4"/>
        <v>43.045476802998174</v>
      </c>
      <c r="G24" s="21">
        <f t="shared" si="5"/>
        <v>0.39854151943536065</v>
      </c>
      <c r="H24" s="22">
        <f t="shared" si="6"/>
        <v>-166.98144522361517</v>
      </c>
      <c r="I24" s="12"/>
      <c r="J24" s="1">
        <v>100</v>
      </c>
      <c r="K24" s="21">
        <f t="shared" si="7"/>
        <v>179.22366492067235</v>
      </c>
      <c r="L24" s="21">
        <f t="shared" si="8"/>
        <v>557.69945840852949</v>
      </c>
      <c r="M24" s="21">
        <f t="shared" si="9"/>
        <v>-19.754153026487607</v>
      </c>
      <c r="N24" s="21">
        <f t="shared" si="10"/>
        <v>9.520349035408552</v>
      </c>
      <c r="O24" s="21">
        <f t="shared" si="11"/>
        <v>0.66615997034817631</v>
      </c>
      <c r="P24" s="21">
        <f t="shared" si="12"/>
        <v>3.634797276218063E-2</v>
      </c>
      <c r="Q24" s="22">
        <f t="shared" si="13"/>
        <v>727.35547930847099</v>
      </c>
      <c r="R24" s="12"/>
      <c r="S24" s="1">
        <v>100</v>
      </c>
      <c r="T24" s="21">
        <f t="shared" si="14"/>
        <v>-0.20613959710611465</v>
      </c>
      <c r="U24" s="21">
        <f t="shared" si="15"/>
        <v>95.066636463265382</v>
      </c>
      <c r="V24" s="21">
        <f t="shared" si="16"/>
        <v>-53.992582400927525</v>
      </c>
      <c r="W24" s="21">
        <f t="shared" si="17"/>
        <v>17.604988901732156</v>
      </c>
      <c r="X24" s="21">
        <f t="shared" si="18"/>
        <v>4.7156760165072802</v>
      </c>
      <c r="Y24" s="25">
        <f t="shared" si="19"/>
        <v>63.188579383471179</v>
      </c>
    </row>
    <row r="25" spans="1:25" x14ac:dyDescent="0.25">
      <c r="A25" s="15">
        <v>105</v>
      </c>
      <c r="B25" s="21">
        <f t="shared" si="0"/>
        <v>-63.598650023620785</v>
      </c>
      <c r="C25" s="21">
        <f t="shared" si="1"/>
        <v>-459.17915203171151</v>
      </c>
      <c r="D25" s="21">
        <f t="shared" si="2"/>
        <v>136.51623207926872</v>
      </c>
      <c r="E25" s="21">
        <f t="shared" si="3"/>
        <v>187.98177452542905</v>
      </c>
      <c r="F25" s="21">
        <f t="shared" si="4"/>
        <v>41.415023343822149</v>
      </c>
      <c r="G25" s="21">
        <f t="shared" si="5"/>
        <v>0.33574657763730115</v>
      </c>
      <c r="H25" s="22">
        <f t="shared" si="6"/>
        <v>-156.52902552917502</v>
      </c>
      <c r="I25" s="12"/>
      <c r="J25" s="1">
        <v>105</v>
      </c>
      <c r="K25" s="21">
        <f>$B$2*$C$2^2*(RADIANS(J25)*SIN(RADIANS(J25))-0.5*COS(RADIANS(J25)))</f>
        <v>188.54627477383582</v>
      </c>
      <c r="L25" s="21">
        <f t="shared" si="8"/>
        <v>552.22159960244051</v>
      </c>
      <c r="M25" s="21">
        <f t="shared" si="9"/>
        <v>-35.726359535852801</v>
      </c>
      <c r="N25" s="21">
        <f t="shared" si="10"/>
        <v>21.149732163324337</v>
      </c>
      <c r="O25" s="21">
        <f t="shared" si="11"/>
        <v>2.6326256369197849</v>
      </c>
      <c r="P25" s="21">
        <f t="shared" si="12"/>
        <v>8.5079264589596804E-2</v>
      </c>
      <c r="Q25" s="22">
        <f t="shared" si="13"/>
        <v>728.82387264066756</v>
      </c>
      <c r="R25" s="12"/>
      <c r="S25" s="1">
        <v>105</v>
      </c>
      <c r="T25" s="21">
        <f t="shared" si="14"/>
        <v>-0.3175201381189709</v>
      </c>
      <c r="U25" s="21">
        <f t="shared" si="15"/>
        <v>138.97812500000006</v>
      </c>
      <c r="V25" s="21">
        <f t="shared" si="16"/>
        <v>-78.931875000000034</v>
      </c>
      <c r="W25" s="21">
        <f t="shared" si="17"/>
        <v>26.917968333945726</v>
      </c>
      <c r="X25" s="21">
        <f t="shared" si="18"/>
        <v>10.308995375390319</v>
      </c>
      <c r="Y25" s="25">
        <f t="shared" si="19"/>
        <v>96.955693571217111</v>
      </c>
    </row>
    <row r="26" spans="1:25" x14ac:dyDescent="0.25">
      <c r="A26" s="15">
        <v>110</v>
      </c>
      <c r="B26" s="21">
        <f t="shared" si="0"/>
        <v>-62.837168091653801</v>
      </c>
      <c r="C26" s="21">
        <f t="shared" si="1"/>
        <v>-432.55750582786118</v>
      </c>
      <c r="D26" s="21">
        <f t="shared" si="2"/>
        <v>148.85880193361072</v>
      </c>
      <c r="E26" s="21">
        <f t="shared" si="3"/>
        <v>166.27964162895742</v>
      </c>
      <c r="F26" s="21">
        <f t="shared" si="4"/>
        <v>38.341297999398094</v>
      </c>
      <c r="G26" s="21">
        <f t="shared" si="5"/>
        <v>0.24617420275344232</v>
      </c>
      <c r="H26" s="22">
        <f t="shared" si="6"/>
        <v>-141.66875815479526</v>
      </c>
      <c r="I26" s="12"/>
      <c r="J26" s="1">
        <v>110</v>
      </c>
      <c r="K26" s="21">
        <f t="shared" si="7"/>
        <v>196.04315184909618</v>
      </c>
      <c r="L26" s="21">
        <f t="shared" si="8"/>
        <v>542.54100098285858</v>
      </c>
      <c r="M26" s="21">
        <f t="shared" si="9"/>
        <v>-55.011905154352746</v>
      </c>
      <c r="N26" s="21">
        <f t="shared" si="10"/>
        <v>36.933101542576431</v>
      </c>
      <c r="O26" s="21">
        <f t="shared" si="11"/>
        <v>5.7421667569732939</v>
      </c>
      <c r="P26" s="21">
        <f t="shared" si="12"/>
        <v>0.15595969280210575</v>
      </c>
      <c r="Q26" s="22">
        <f t="shared" si="13"/>
        <v>726.24751597715181</v>
      </c>
      <c r="R26" s="12"/>
      <c r="S26" s="1">
        <v>110</v>
      </c>
      <c r="T26" s="21">
        <f t="shared" si="14"/>
        <v>-0.42849573431886528</v>
      </c>
      <c r="U26" s="21">
        <f t="shared" si="15"/>
        <v>178.66683353493417</v>
      </c>
      <c r="V26" s="21">
        <f t="shared" si="16"/>
        <v>-101.47286251865343</v>
      </c>
      <c r="W26" s="21">
        <f t="shared" si="17"/>
        <v>35.990009962563455</v>
      </c>
      <c r="X26" s="21">
        <f t="shared" si="18"/>
        <v>15.708597234796626</v>
      </c>
      <c r="Y26" s="25">
        <f t="shared" si="19"/>
        <v>128.46408247932197</v>
      </c>
    </row>
    <row r="27" spans="1:25" x14ac:dyDescent="0.25">
      <c r="A27" s="15">
        <v>115</v>
      </c>
      <c r="B27" s="21">
        <f t="shared" si="0"/>
        <v>-60.325641288289404</v>
      </c>
      <c r="C27" s="21">
        <f t="shared" si="1"/>
        <v>-394.58093193910599</v>
      </c>
      <c r="D27" s="21">
        <f t="shared" si="2"/>
        <v>158.58258255253853</v>
      </c>
      <c r="E27" s="21">
        <f t="shared" si="3"/>
        <v>139.52518596314849</v>
      </c>
      <c r="F27" s="21">
        <f t="shared" si="4"/>
        <v>33.876283452485701</v>
      </c>
      <c r="G27" s="21">
        <f t="shared" si="5"/>
        <v>0.13051302239613274</v>
      </c>
      <c r="H27" s="22">
        <f t="shared" si="6"/>
        <v>-122.79200823682656</v>
      </c>
      <c r="I27" s="12"/>
      <c r="J27" s="1">
        <v>115</v>
      </c>
      <c r="K27" s="21">
        <f t="shared" si="7"/>
        <v>201.53161797122365</v>
      </c>
      <c r="L27" s="21">
        <f t="shared" si="8"/>
        <v>528.73133775058398</v>
      </c>
      <c r="M27" s="21">
        <f t="shared" si="9"/>
        <v>-76.790029316220554</v>
      </c>
      <c r="N27" s="21">
        <f t="shared" si="10"/>
        <v>56.390887481346546</v>
      </c>
      <c r="O27" s="21">
        <f t="shared" si="11"/>
        <v>9.9750378429329274</v>
      </c>
      <c r="P27" s="21">
        <f t="shared" si="12"/>
        <v>0.2490533918259043</v>
      </c>
      <c r="Q27" s="22">
        <f t="shared" si="13"/>
        <v>719.83885172986663</v>
      </c>
      <c r="R27" s="12"/>
      <c r="S27" s="1">
        <v>115</v>
      </c>
      <c r="T27" s="21">
        <f t="shared" si="14"/>
        <v>-0.53409672234703087</v>
      </c>
      <c r="U27" s="21">
        <f t="shared" si="15"/>
        <v>212.92684074268939</v>
      </c>
      <c r="V27" s="21">
        <f t="shared" si="16"/>
        <v>-120.93064845742356</v>
      </c>
      <c r="W27" s="21">
        <f t="shared" si="17"/>
        <v>44.443141766778922</v>
      </c>
      <c r="X27" s="21">
        <f t="shared" si="18"/>
        <v>20.674618750441269</v>
      </c>
      <c r="Y27" s="25">
        <f t="shared" si="19"/>
        <v>156.579856080139</v>
      </c>
    </row>
    <row r="28" spans="1:25" x14ac:dyDescent="0.25">
      <c r="A28" s="15">
        <v>120</v>
      </c>
      <c r="B28" s="21">
        <f t="shared" si="0"/>
        <v>-55.961491582779203</v>
      </c>
      <c r="C28" s="21">
        <f t="shared" si="1"/>
        <v>-345.53845502362117</v>
      </c>
      <c r="D28" s="21">
        <f t="shared" si="2"/>
        <v>164.47109373519365</v>
      </c>
      <c r="E28" s="21">
        <f t="shared" si="3"/>
        <v>108.5313281250001</v>
      </c>
      <c r="F28" s="21">
        <f t="shared" si="4"/>
        <v>28.129777500000003</v>
      </c>
      <c r="G28" s="21">
        <f t="shared" si="5"/>
        <v>-9.3369649999997511E-3</v>
      </c>
      <c r="H28" s="22">
        <f t="shared" si="6"/>
        <v>-100.37708421120664</v>
      </c>
      <c r="I28" s="12"/>
      <c r="J28" s="1">
        <v>120</v>
      </c>
      <c r="K28" s="21">
        <f t="shared" si="7"/>
        <v>204.84821033277919</v>
      </c>
      <c r="L28" s="21">
        <f t="shared" si="8"/>
        <v>510.89770978131679</v>
      </c>
      <c r="M28" s="21">
        <f t="shared" si="9"/>
        <v>-100.0640954491613</v>
      </c>
      <c r="N28" s="21">
        <f t="shared" si="10"/>
        <v>78.931874999999934</v>
      </c>
      <c r="O28" s="21">
        <f t="shared" si="11"/>
        <v>15.259419999999983</v>
      </c>
      <c r="P28" s="21">
        <f t="shared" si="12"/>
        <v>0.36329281999999968</v>
      </c>
      <c r="Q28" s="22">
        <f t="shared" si="13"/>
        <v>709.87311966493451</v>
      </c>
      <c r="R28" s="12"/>
      <c r="S28" s="1">
        <v>120</v>
      </c>
      <c r="T28" s="21">
        <f t="shared" si="14"/>
        <v>-0.62924162226497449</v>
      </c>
      <c r="U28" s="21">
        <f t="shared" si="15"/>
        <v>240.71717364065827</v>
      </c>
      <c r="V28" s="21">
        <f t="shared" si="16"/>
        <v>-136.71401783667565</v>
      </c>
      <c r="W28" s="21">
        <f t="shared" si="17"/>
        <v>51.900673782938838</v>
      </c>
      <c r="X28" s="21">
        <f t="shared" si="18"/>
        <v>24.991788225729721</v>
      </c>
      <c r="Y28" s="25">
        <f t="shared" si="19"/>
        <v>180.26637619038621</v>
      </c>
    </row>
    <row r="29" spans="1:25" x14ac:dyDescent="0.25">
      <c r="A29" s="15">
        <v>125</v>
      </c>
      <c r="B29" s="21">
        <f t="shared" si="0"/>
        <v>-49.661096822656063</v>
      </c>
      <c r="C29" s="21">
        <f t="shared" si="1"/>
        <v>-285.80331794339122</v>
      </c>
      <c r="D29" s="21">
        <f t="shared" si="2"/>
        <v>165.15601184218659</v>
      </c>
      <c r="E29" s="21">
        <f t="shared" si="3"/>
        <v>74.239800801275322</v>
      </c>
      <c r="F29" s="21">
        <f t="shared" si="4"/>
        <v>21.267847893758539</v>
      </c>
      <c r="G29" s="21">
        <f t="shared" si="5"/>
        <v>-0.17027010242438154</v>
      </c>
      <c r="H29" s="22">
        <f t="shared" si="6"/>
        <v>-74.971024331251229</v>
      </c>
      <c r="I29" s="12"/>
      <c r="J29" s="1">
        <v>125</v>
      </c>
      <c r="K29" s="21">
        <f t="shared" si="7"/>
        <v>205.85085169640638</v>
      </c>
      <c r="L29" s="21">
        <f t="shared" si="8"/>
        <v>489.17584175214216</v>
      </c>
      <c r="M29" s="21">
        <f t="shared" si="9"/>
        <v>-123.69442221030407</v>
      </c>
      <c r="N29" s="21">
        <f t="shared" si="10"/>
        <v>103.87116759907249</v>
      </c>
      <c r="O29" s="21">
        <f t="shared" si="11"/>
        <v>21.471424852081391</v>
      </c>
      <c r="P29" s="21">
        <f t="shared" si="12"/>
        <v>0.49645444911338926</v>
      </c>
      <c r="Q29" s="22">
        <f t="shared" si="13"/>
        <v>696.67486368939831</v>
      </c>
      <c r="R29" s="12"/>
      <c r="S29" s="1">
        <v>125</v>
      </c>
      <c r="T29" s="21">
        <f t="shared" si="14"/>
        <v>-0.70901043193954105</v>
      </c>
      <c r="U29" s="21">
        <f t="shared" si="15"/>
        <v>261.19343702632312</v>
      </c>
      <c r="V29" s="21">
        <f t="shared" si="16"/>
        <v>-148.34340096459144</v>
      </c>
      <c r="W29" s="21">
        <f t="shared" si="17"/>
        <v>58.006216464621993</v>
      </c>
      <c r="X29" s="21">
        <f t="shared" si="18"/>
        <v>28.476038578678672</v>
      </c>
      <c r="Y29" s="25">
        <f t="shared" si="19"/>
        <v>198.62328067309281</v>
      </c>
    </row>
    <row r="30" spans="1:25" x14ac:dyDescent="0.25">
      <c r="A30" s="15">
        <v>130</v>
      </c>
      <c r="B30" s="21">
        <f t="shared" si="0"/>
        <v>-41.361316341061972</v>
      </c>
      <c r="C30" s="21">
        <f t="shared" si="1"/>
        <v>-215.83014116065857</v>
      </c>
      <c r="D30" s="21">
        <f t="shared" si="2"/>
        <v>159.16779770117137</v>
      </c>
      <c r="E30" s="21">
        <f t="shared" si="3"/>
        <v>37.692534697355818</v>
      </c>
      <c r="F30" s="21">
        <f t="shared" si="4"/>
        <v>13.508395148053967</v>
      </c>
      <c r="G30" s="21">
        <f t="shared" si="5"/>
        <v>-0.34804718253652406</v>
      </c>
      <c r="H30" s="22">
        <f t="shared" si="6"/>
        <v>-47.17077713767592</v>
      </c>
      <c r="I30" s="12"/>
      <c r="J30" s="1">
        <v>130</v>
      </c>
      <c r="K30" s="21">
        <f t="shared" si="7"/>
        <v>204.42082088065166</v>
      </c>
      <c r="L30" s="21">
        <f t="shared" si="8"/>
        <v>463.73105019478493</v>
      </c>
      <c r="M30" s="21">
        <f t="shared" si="9"/>
        <v>-146.43620379407903</v>
      </c>
      <c r="N30" s="21">
        <f t="shared" si="10"/>
        <v>130.45099749283213</v>
      </c>
      <c r="O30" s="21">
        <f t="shared" si="11"/>
        <v>28.437984176912</v>
      </c>
      <c r="P30" s="21">
        <f t="shared" si="12"/>
        <v>0.64520204638019418</v>
      </c>
      <c r="Q30" s="22">
        <f t="shared" si="13"/>
        <v>680.60464895110169</v>
      </c>
      <c r="R30" s="12"/>
      <c r="S30" s="1">
        <v>130</v>
      </c>
      <c r="T30" s="21">
        <f t="shared" si="14"/>
        <v>-0.76892185672273228</v>
      </c>
      <c r="U30" s="21">
        <f t="shared" si="15"/>
        <v>273.73346999819961</v>
      </c>
      <c r="V30" s="21">
        <f t="shared" si="16"/>
        <v>-155.46544491958096</v>
      </c>
      <c r="W30" s="21">
        <f t="shared" si="17"/>
        <v>62.442645378003199</v>
      </c>
      <c r="X30" s="21">
        <f t="shared" si="18"/>
        <v>30.979998984122911</v>
      </c>
      <c r="Y30" s="25">
        <f t="shared" si="19"/>
        <v>210.92174758402203</v>
      </c>
    </row>
    <row r="31" spans="1:25" x14ac:dyDescent="0.25">
      <c r="A31" s="15">
        <v>135</v>
      </c>
      <c r="B31" s="21">
        <f t="shared" si="0"/>
        <v>-31.020816960943147</v>
      </c>
      <c r="C31" s="21">
        <f t="shared" si="1"/>
        <v>-136.15146280169918</v>
      </c>
      <c r="D31" s="21">
        <f t="shared" si="2"/>
        <v>144.99137350796812</v>
      </c>
      <c r="E31" s="21">
        <f t="shared" si="3"/>
        <v>4.8197591751009129E-14</v>
      </c>
      <c r="F31" s="21">
        <f t="shared" si="4"/>
        <v>5.113916449693928</v>
      </c>
      <c r="G31" s="21">
        <f t="shared" si="5"/>
        <v>-0.53743285386235273</v>
      </c>
      <c r="H31" s="22">
        <f t="shared" si="6"/>
        <v>-17.604422658842573</v>
      </c>
      <c r="I31" s="12"/>
      <c r="J31" s="1">
        <v>135</v>
      </c>
      <c r="K31" s="21">
        <f t="shared" si="7"/>
        <v>200.46450176543598</v>
      </c>
      <c r="L31" s="21">
        <f t="shared" si="8"/>
        <v>434.75698533698153</v>
      </c>
      <c r="M31" s="21">
        <f t="shared" si="9"/>
        <v>-166.9813420710793</v>
      </c>
      <c r="N31" s="21">
        <f t="shared" si="10"/>
        <v>157.86374999999998</v>
      </c>
      <c r="O31" s="21">
        <f t="shared" si="11"/>
        <v>35.94258469143378</v>
      </c>
      <c r="P31" s="21">
        <f t="shared" si="12"/>
        <v>0.80519742603165767</v>
      </c>
      <c r="Q31" s="22">
        <f t="shared" si="13"/>
        <v>662.04647972277201</v>
      </c>
      <c r="R31" s="12"/>
      <c r="S31" s="1">
        <v>135</v>
      </c>
      <c r="T31" s="21">
        <f t="shared" si="14"/>
        <v>-0.80519742603165767</v>
      </c>
      <c r="U31" s="21">
        <f t="shared" si="15"/>
        <v>277.95625000000001</v>
      </c>
      <c r="V31" s="21">
        <f t="shared" si="16"/>
        <v>-157.86375000000001</v>
      </c>
      <c r="W31" s="21">
        <f t="shared" si="17"/>
        <v>64.949886655550614</v>
      </c>
      <c r="X31" s="21">
        <f t="shared" si="18"/>
        <v>32.397202433533778</v>
      </c>
      <c r="Y31" s="31">
        <f t="shared" si="19"/>
        <v>216.63439166305272</v>
      </c>
    </row>
    <row r="32" spans="1:25" x14ac:dyDescent="0.25">
      <c r="A32" s="15">
        <v>140</v>
      </c>
      <c r="B32" s="21">
        <f t="shared" si="0"/>
        <v>-18.621182869916339</v>
      </c>
      <c r="C32" s="21">
        <f t="shared" si="1"/>
        <v>-47.373685720126034</v>
      </c>
      <c r="D32" s="21">
        <f t="shared" si="2"/>
        <v>121.12507309655724</v>
      </c>
      <c r="E32" s="21">
        <f t="shared" si="3"/>
        <v>-37.692534697355725</v>
      </c>
      <c r="F32" s="21">
        <f t="shared" si="4"/>
        <v>-3.6182677281179609</v>
      </c>
      <c r="G32" s="21">
        <f t="shared" si="5"/>
        <v>-0.7323931609268528</v>
      </c>
      <c r="H32" s="22">
        <f t="shared" si="6"/>
        <v>13.087008920114334</v>
      </c>
      <c r="I32" s="12"/>
      <c r="J32" s="1">
        <v>140</v>
      </c>
      <c r="K32" s="21">
        <f t="shared" si="7"/>
        <v>193.91489107168675</v>
      </c>
      <c r="L32" s="21">
        <f t="shared" si="8"/>
        <v>402.47415730731854</v>
      </c>
      <c r="M32" s="21">
        <f t="shared" si="9"/>
        <v>-184.00288899600406</v>
      </c>
      <c r="N32" s="21">
        <f t="shared" si="10"/>
        <v>185.27650250716781</v>
      </c>
      <c r="O32" s="21">
        <f t="shared" si="11"/>
        <v>43.73362953020272</v>
      </c>
      <c r="P32" s="21">
        <f t="shared" si="12"/>
        <v>0.97127422648894446</v>
      </c>
      <c r="Q32" s="22">
        <f t="shared" si="13"/>
        <v>641.39629142037177</v>
      </c>
      <c r="R32" s="12"/>
      <c r="S32" s="1">
        <v>140</v>
      </c>
      <c r="T32" s="21">
        <f t="shared" si="14"/>
        <v>-0.81499584521887147</v>
      </c>
      <c r="U32" s="21">
        <f t="shared" si="15"/>
        <v>273.73346999819961</v>
      </c>
      <c r="V32" s="21">
        <f t="shared" si="16"/>
        <v>-155.46544491958099</v>
      </c>
      <c r="W32" s="21">
        <f t="shared" si="17"/>
        <v>65.340433356671312</v>
      </c>
      <c r="X32" s="21">
        <f t="shared" si="18"/>
        <v>32.664887885015887</v>
      </c>
      <c r="Y32" s="25">
        <f t="shared" si="19"/>
        <v>215.458350475087</v>
      </c>
    </row>
    <row r="33" spans="1:25" x14ac:dyDescent="0.25">
      <c r="A33" s="15">
        <v>145</v>
      </c>
      <c r="B33" s="21">
        <f t="shared" si="0"/>
        <v>-4.1677948662405262</v>
      </c>
      <c r="C33" s="21">
        <f t="shared" si="1"/>
        <v>49.827537594983234</v>
      </c>
      <c r="D33" s="21">
        <f t="shared" si="2"/>
        <v>86.14097610984669</v>
      </c>
      <c r="E33" s="21">
        <f t="shared" si="3"/>
        <v>-74.23980080127545</v>
      </c>
      <c r="F33" s="21">
        <f t="shared" si="4"/>
        <v>-12.367905032367222</v>
      </c>
      <c r="G33" s="21">
        <f t="shared" si="5"/>
        <v>-0.92634421571536363</v>
      </c>
      <c r="H33" s="22">
        <f t="shared" si="6"/>
        <v>44.266668789231375</v>
      </c>
      <c r="I33" s="12"/>
      <c r="J33" s="1">
        <v>145</v>
      </c>
      <c r="K33" s="21">
        <f t="shared" si="7"/>
        <v>184.73284738726898</v>
      </c>
      <c r="L33" s="21">
        <f t="shared" si="8"/>
        <v>367.12825792000609</v>
      </c>
      <c r="M33" s="21">
        <f t="shared" si="9"/>
        <v>-196.2007131813445</v>
      </c>
      <c r="N33" s="21">
        <f t="shared" si="10"/>
        <v>211.85633240092761</v>
      </c>
      <c r="O33" s="21">
        <f t="shared" si="11"/>
        <v>51.53503980124016</v>
      </c>
      <c r="P33" s="21">
        <f t="shared" si="12"/>
        <v>1.1376661597663327</v>
      </c>
      <c r="Q33" s="22">
        <f t="shared" si="13"/>
        <v>619.05176432809822</v>
      </c>
      <c r="R33" s="12"/>
      <c r="S33" s="1">
        <v>145</v>
      </c>
      <c r="T33" s="21">
        <f t="shared" si="14"/>
        <v>-0.79660242103447787</v>
      </c>
      <c r="U33" s="21">
        <f t="shared" si="15"/>
        <v>261.19343702632312</v>
      </c>
      <c r="V33" s="21">
        <f t="shared" si="16"/>
        <v>-148.34340096459144</v>
      </c>
      <c r="W33" s="21">
        <f t="shared" si="17"/>
        <v>63.511609122891208</v>
      </c>
      <c r="X33" s="21">
        <f t="shared" si="18"/>
        <v>31.765320209216846</v>
      </c>
      <c r="Y33" s="25">
        <f t="shared" si="19"/>
        <v>207.33036297280523</v>
      </c>
    </row>
    <row r="34" spans="1:25" x14ac:dyDescent="0.25">
      <c r="A34" s="15">
        <v>150</v>
      </c>
      <c r="B34" s="21">
        <f t="shared" si="0"/>
        <v>12.309533340622517</v>
      </c>
      <c r="C34" s="21">
        <f t="shared" si="1"/>
        <v>154.71244714249619</v>
      </c>
      <c r="D34" s="21">
        <f t="shared" si="2"/>
        <v>38.744680920305477</v>
      </c>
      <c r="E34" s="21">
        <f t="shared" si="3"/>
        <v>-108.53132812500004</v>
      </c>
      <c r="F34" s="21">
        <f t="shared" si="4"/>
        <v>-20.805264781006251</v>
      </c>
      <c r="G34" s="21">
        <f t="shared" si="5"/>
        <v>-1.1124396401620926</v>
      </c>
      <c r="H34" s="22">
        <f t="shared" si="6"/>
        <v>75.317628857255798</v>
      </c>
      <c r="I34" s="12"/>
      <c r="J34" s="1">
        <v>150</v>
      </c>
      <c r="K34" s="21">
        <f t="shared" si="7"/>
        <v>172.90806630845009</v>
      </c>
      <c r="L34" s="21">
        <f t="shared" si="8"/>
        <v>328.98829081181958</v>
      </c>
      <c r="M34" s="21">
        <f t="shared" si="9"/>
        <v>-202.34696238011111</v>
      </c>
      <c r="N34" s="21">
        <f t="shared" si="10"/>
        <v>236.79562500000006</v>
      </c>
      <c r="O34" s="21">
        <f t="shared" si="11"/>
        <v>59.058562310168611</v>
      </c>
      <c r="P34" s="21">
        <f t="shared" si="12"/>
        <v>1.2982775565404645</v>
      </c>
      <c r="Q34" s="22">
        <f t="shared" si="13"/>
        <v>595.40358205032726</v>
      </c>
      <c r="R34" s="12"/>
      <c r="S34" s="1">
        <v>150</v>
      </c>
      <c r="T34" s="21">
        <f t="shared" si="14"/>
        <v>-0.74956089675148674</v>
      </c>
      <c r="U34" s="21">
        <f t="shared" si="15"/>
        <v>240.71717364065836</v>
      </c>
      <c r="V34" s="21">
        <f t="shared" si="16"/>
        <v>-136.71401783667568</v>
      </c>
      <c r="W34" s="21">
        <f t="shared" si="17"/>
        <v>59.453766491988475</v>
      </c>
      <c r="X34" s="21">
        <f t="shared" si="18"/>
        <v>29.7255979014144</v>
      </c>
      <c r="Y34" s="25">
        <f t="shared" si="19"/>
        <v>192.43295930063408</v>
      </c>
    </row>
    <row r="35" spans="1:25" x14ac:dyDescent="0.25">
      <c r="A35" s="15">
        <v>155</v>
      </c>
      <c r="B35" s="21">
        <f t="shared" si="0"/>
        <v>30.756171771786057</v>
      </c>
      <c r="C35" s="21">
        <f t="shared" si="1"/>
        <v>266.48280542951687</v>
      </c>
      <c r="D35" s="21">
        <f t="shared" si="2"/>
        <v>-22.167424578995632</v>
      </c>
      <c r="E35" s="21">
        <f t="shared" si="3"/>
        <v>-139.52518596314843</v>
      </c>
      <c r="F35" s="21">
        <f t="shared" si="4"/>
        <v>-28.605491328867625</v>
      </c>
      <c r="G35" s="21">
        <f t="shared" si="5"/>
        <v>-1.2838817673346272</v>
      </c>
      <c r="H35" s="22">
        <f t="shared" si="6"/>
        <v>105.65699356295661</v>
      </c>
      <c r="I35" s="12"/>
      <c r="J35" s="1">
        <v>155</v>
      </c>
      <c r="K35" s="21">
        <f t="shared" si="7"/>
        <v>158.45976912118769</v>
      </c>
      <c r="L35" s="21">
        <f t="shared" si="8"/>
        <v>288.34452416199389</v>
      </c>
      <c r="M35" s="21">
        <f t="shared" si="9"/>
        <v>-201.32989517415862</v>
      </c>
      <c r="N35" s="21">
        <f t="shared" si="10"/>
        <v>259.33661251865345</v>
      </c>
      <c r="O35" s="21">
        <f t="shared" si="11"/>
        <v>66.017132983558341</v>
      </c>
      <c r="P35" s="21">
        <f t="shared" si="12"/>
        <v>1.446981137197908</v>
      </c>
      <c r="Q35" s="22">
        <f t="shared" si="13"/>
        <v>570.82814361123474</v>
      </c>
      <c r="R35" s="12"/>
      <c r="S35" s="1">
        <v>155</v>
      </c>
      <c r="T35" s="21">
        <f t="shared" si="14"/>
        <v>-0.67473838548121334</v>
      </c>
      <c r="U35" s="21">
        <f t="shared" si="15"/>
        <v>212.92684074268945</v>
      </c>
      <c r="V35" s="21">
        <f t="shared" si="16"/>
        <v>-120.93064845742359</v>
      </c>
      <c r="W35" s="21">
        <f t="shared" si="17"/>
        <v>53.253832832959496</v>
      </c>
      <c r="X35" s="21">
        <f t="shared" si="18"/>
        <v>26.615966087642001</v>
      </c>
      <c r="Y35" s="25">
        <f t="shared" si="19"/>
        <v>171.19125282038613</v>
      </c>
    </row>
    <row r="36" spans="1:25" x14ac:dyDescent="0.25">
      <c r="A36" s="15">
        <v>160</v>
      </c>
      <c r="B36" s="21">
        <f t="shared" si="0"/>
        <v>51.092551325077004</v>
      </c>
      <c r="C36" s="21">
        <f t="shared" si="1"/>
        <v>384.2879725406936</v>
      </c>
      <c r="D36" s="21">
        <f t="shared" si="2"/>
        <v>-97.455270999181053</v>
      </c>
      <c r="E36" s="21">
        <f t="shared" si="3"/>
        <v>-166.27964162895734</v>
      </c>
      <c r="F36" s="21">
        <f t="shared" si="4"/>
        <v>-35.463125869210245</v>
      </c>
      <c r="G36" s="21">
        <f t="shared" si="5"/>
        <v>-1.4342398234237277</v>
      </c>
      <c r="H36" s="22">
        <f t="shared" si="6"/>
        <v>134.74824554499827</v>
      </c>
      <c r="I36" s="12"/>
      <c r="J36" s="1">
        <v>160</v>
      </c>
      <c r="K36" s="21">
        <f t="shared" si="7"/>
        <v>141.43709513652431</v>
      </c>
      <c r="L36" s="21">
        <f t="shared" si="8"/>
        <v>245.50628157611141</v>
      </c>
      <c r="M36" s="21">
        <f t="shared" si="9"/>
        <v>-192.19470041271254</v>
      </c>
      <c r="N36" s="21">
        <f t="shared" si="10"/>
        <v>278.79439845742354</v>
      </c>
      <c r="O36" s="21">
        <f t="shared" si="11"/>
        <v>72.13856764170761</v>
      </c>
      <c r="P36" s="21">
        <f t="shared" si="12"/>
        <v>1.5779259733836601</v>
      </c>
      <c r="Q36" s="22">
        <f t="shared" si="13"/>
        <v>545.68164239905434</v>
      </c>
      <c r="R36" s="12"/>
      <c r="S36" s="1">
        <v>160</v>
      </c>
      <c r="T36" s="21">
        <f t="shared" si="14"/>
        <v>-0.57431808618717639</v>
      </c>
      <c r="U36" s="21">
        <f t="shared" si="15"/>
        <v>178.66683353493423</v>
      </c>
      <c r="V36" s="21">
        <f t="shared" si="16"/>
        <v>-101.47286251865347</v>
      </c>
      <c r="W36" s="21">
        <f t="shared" si="17"/>
        <v>45.093883265738832</v>
      </c>
      <c r="X36" s="21">
        <f t="shared" si="18"/>
        <v>22.54669924222236</v>
      </c>
      <c r="Y36" s="25">
        <f t="shared" si="19"/>
        <v>144.26023543805479</v>
      </c>
    </row>
    <row r="37" spans="1:25" x14ac:dyDescent="0.25">
      <c r="A37" s="15">
        <v>165</v>
      </c>
      <c r="B37" s="21">
        <f t="shared" si="0"/>
        <v>73.214306459758603</v>
      </c>
      <c r="C37" s="21">
        <f t="shared" si="1"/>
        <v>507.23138002160545</v>
      </c>
      <c r="D37" s="21">
        <f t="shared" si="2"/>
        <v>-187.68834872791811</v>
      </c>
      <c r="E37" s="21">
        <f t="shared" si="3"/>
        <v>-187.98177452542899</v>
      </c>
      <c r="F37" s="21">
        <f t="shared" si="4"/>
        <v>-41.106038583943096</v>
      </c>
      <c r="G37" s="21">
        <f t="shared" si="5"/>
        <v>-1.5577575580851697</v>
      </c>
      <c r="H37" s="22">
        <f t="shared" si="6"/>
        <v>162.11176708598873</v>
      </c>
      <c r="I37" s="12"/>
      <c r="J37" s="1">
        <v>165</v>
      </c>
      <c r="K37" s="21">
        <f t="shared" si="7"/>
        <v>121.9191905949493</v>
      </c>
      <c r="L37" s="21">
        <f t="shared" si="8"/>
        <v>200.79958794668892</v>
      </c>
      <c r="M37" s="21">
        <f t="shared" si="9"/>
        <v>-174.18001054645646</v>
      </c>
      <c r="N37" s="21">
        <f t="shared" si="10"/>
        <v>294.57776783667566</v>
      </c>
      <c r="O37" s="21">
        <f t="shared" si="11"/>
        <v>77.178818050323287</v>
      </c>
      <c r="P37" s="21">
        <f t="shared" si="12"/>
        <v>1.6858377031717142</v>
      </c>
      <c r="Q37" s="22">
        <f t="shared" si="13"/>
        <v>520.29535388218073</v>
      </c>
      <c r="R37" s="12"/>
      <c r="S37" s="1">
        <v>165</v>
      </c>
      <c r="T37" s="21">
        <f t="shared" si="14"/>
        <v>-0.45171885113480009</v>
      </c>
      <c r="U37" s="21">
        <f t="shared" si="15"/>
        <v>138.97812500000015</v>
      </c>
      <c r="V37" s="21">
        <f t="shared" si="16"/>
        <v>-78.931875000000076</v>
      </c>
      <c r="W37" s="21">
        <f t="shared" si="17"/>
        <v>35.244710515613271</v>
      </c>
      <c r="X37" s="21">
        <f t="shared" si="18"/>
        <v>17.663662816023855</v>
      </c>
      <c r="Y37" s="25">
        <f t="shared" si="19"/>
        <v>112.50290448050238</v>
      </c>
    </row>
    <row r="38" spans="1:25" x14ac:dyDescent="0.25">
      <c r="A38" s="15">
        <v>170</v>
      </c>
      <c r="B38" s="21">
        <f t="shared" si="0"/>
        <v>96.992685856749276</v>
      </c>
      <c r="C38" s="21">
        <f t="shared" si="1"/>
        <v>634.37735430606438</v>
      </c>
      <c r="D38" s="21">
        <f t="shared" si="2"/>
        <v>-293.10666019765353</v>
      </c>
      <c r="E38" s="21">
        <f t="shared" si="3"/>
        <v>-203.97217632631319</v>
      </c>
      <c r="F38" s="21">
        <f t="shared" si="4"/>
        <v>-45.308030974020745</v>
      </c>
      <c r="G38" s="21">
        <f t="shared" si="5"/>
        <v>-1.6496331067493322</v>
      </c>
      <c r="H38" s="22">
        <f t="shared" si="6"/>
        <v>187.33353955807689</v>
      </c>
      <c r="I38" s="12"/>
      <c r="J38" s="1">
        <v>170</v>
      </c>
      <c r="K38" s="21">
        <f t="shared" si="7"/>
        <v>100.01498994028279</v>
      </c>
      <c r="L38" s="21">
        <f t="shared" si="8"/>
        <v>154.56468820688568</v>
      </c>
      <c r="M38" s="21">
        <f t="shared" si="9"/>
        <v>-146.74894232416042</v>
      </c>
      <c r="N38" s="21">
        <f t="shared" si="10"/>
        <v>306.20715096459145</v>
      </c>
      <c r="O38" s="21">
        <f t="shared" si="11"/>
        <v>80.93404425694753</v>
      </c>
      <c r="P38" s="21">
        <f t="shared" si="12"/>
        <v>1.7662932933985152</v>
      </c>
      <c r="Q38" s="22">
        <f t="shared" si="13"/>
        <v>494.97193104454703</v>
      </c>
      <c r="R38" s="12"/>
      <c r="S38" s="1">
        <v>170</v>
      </c>
      <c r="T38" s="21">
        <f t="shared" si="14"/>
        <v>-0.31144516347057094</v>
      </c>
      <c r="U38" s="21">
        <f t="shared" si="15"/>
        <v>95.066636463265368</v>
      </c>
      <c r="V38" s="21">
        <f t="shared" si="16"/>
        <v>-53.992582400927517</v>
      </c>
      <c r="W38" s="21">
        <f t="shared" si="17"/>
        <v>24.054658083170178</v>
      </c>
      <c r="X38" s="21">
        <f t="shared" si="18"/>
        <v>12.142704275229219</v>
      </c>
      <c r="Y38" s="25">
        <f t="shared" si="19"/>
        <v>76.959971257266687</v>
      </c>
    </row>
    <row r="39" spans="1:25" x14ac:dyDescent="0.25">
      <c r="A39" s="15">
        <v>175</v>
      </c>
      <c r="B39" s="21">
        <f t="shared" si="0"/>
        <v>122.27523084857826</v>
      </c>
      <c r="C39" s="21">
        <f t="shared" si="1"/>
        <v>764.75823775692595</v>
      </c>
      <c r="D39" s="21">
        <f t="shared" si="2"/>
        <v>-413.59073508068968</v>
      </c>
      <c r="E39" s="21">
        <f t="shared" si="3"/>
        <v>-213.76498676442384</v>
      </c>
      <c r="F39" s="21">
        <f t="shared" si="4"/>
        <v>-47.899430201400406</v>
      </c>
      <c r="G39" s="21">
        <f t="shared" si="5"/>
        <v>-1.7062552456455695</v>
      </c>
      <c r="H39" s="22">
        <f t="shared" si="6"/>
        <v>210.07206131334476</v>
      </c>
      <c r="I39" s="12"/>
      <c r="J39" s="1">
        <v>175</v>
      </c>
      <c r="K39" s="21">
        <f t="shared" si="7"/>
        <v>75.862688208106306</v>
      </c>
      <c r="L39" s="21">
        <f t="shared" si="8"/>
        <v>107.15345786111784</v>
      </c>
      <c r="M39" s="21">
        <f t="shared" si="9"/>
        <v>-109.61366151948828</v>
      </c>
      <c r="N39" s="21">
        <f t="shared" si="10"/>
        <v>313.32919491958097</v>
      </c>
      <c r="O39" s="21">
        <f t="shared" si="11"/>
        <v>83.250813695180753</v>
      </c>
      <c r="P39" s="21">
        <f t="shared" si="12"/>
        <v>1.8159539979775992</v>
      </c>
      <c r="Q39" s="22">
        <f t="shared" si="13"/>
        <v>469.98249316449755</v>
      </c>
      <c r="R39" s="12"/>
      <c r="S39" s="1">
        <v>175</v>
      </c>
      <c r="T39" s="21">
        <f t="shared" si="14"/>
        <v>-0.15887538830761869</v>
      </c>
      <c r="U39" s="21">
        <f t="shared" si="15"/>
        <v>48.266596283633717</v>
      </c>
      <c r="V39" s="21">
        <f t="shared" si="16"/>
        <v>-27.412752507167884</v>
      </c>
      <c r="W39" s="21">
        <f t="shared" si="17"/>
        <v>11.934266534167147</v>
      </c>
      <c r="X39" s="21">
        <f t="shared" si="18"/>
        <v>6.1830606029321844</v>
      </c>
      <c r="Y39" s="25">
        <f t="shared" si="19"/>
        <v>38.812295525257547</v>
      </c>
    </row>
    <row r="40" spans="1:25" ht="14.4" thickBot="1" x14ac:dyDescent="0.3">
      <c r="A40" s="16">
        <v>180</v>
      </c>
      <c r="B40" s="23">
        <f t="shared" si="0"/>
        <v>148.88671874999994</v>
      </c>
      <c r="C40" s="23">
        <f t="shared" si="1"/>
        <v>897.38175312499982</v>
      </c>
      <c r="D40" s="23">
        <f t="shared" si="2"/>
        <v>-548.64179218749985</v>
      </c>
      <c r="E40" s="21">
        <f t="shared" si="3"/>
        <v>-217.06265625</v>
      </c>
      <c r="F40" s="23">
        <f t="shared" si="4"/>
        <v>-48.775100000000002</v>
      </c>
      <c r="G40" s="23">
        <f>$H$2*$C$2^2*IF(AND(A40&gt;=0, A40&lt;=45),
0.2346-0.3536*COS(RADIANS(A40)),
IF(AND(A40&gt;45, A40&lt;=180),
-0.3487+0.5*SIN(RADIANS(A40))^2+0.2357*COS(RADIANS(A40))^3,
""))</f>
        <v>-1.7253825600000003</v>
      </c>
      <c r="H40" s="27">
        <f t="shared" si="6"/>
        <v>230.0635408774998</v>
      </c>
      <c r="I40" s="17"/>
      <c r="J40" s="18">
        <v>180</v>
      </c>
      <c r="K40" s="23">
        <f t="shared" si="7"/>
        <v>49.628906250000036</v>
      </c>
      <c r="L40" s="23">
        <f t="shared" si="8"/>
        <v>58.926725000000069</v>
      </c>
      <c r="M40" s="23">
        <f t="shared" si="9"/>
        <v>-62.752662500000078</v>
      </c>
      <c r="N40" s="23">
        <f t="shared" si="10"/>
        <v>315.72750000000002</v>
      </c>
      <c r="O40" s="23">
        <f t="shared" si="11"/>
        <v>84.033839999999998</v>
      </c>
      <c r="P40" s="23">
        <f t="shared" si="12"/>
        <v>1.8327425600000002</v>
      </c>
      <c r="Q40" s="29">
        <f t="shared" si="13"/>
        <v>445.56430875000007</v>
      </c>
      <c r="R40" s="17"/>
      <c r="S40" s="18">
        <v>180</v>
      </c>
      <c r="T40" s="23">
        <f t="shared" si="14"/>
        <v>-2.2453817156292685E-16</v>
      </c>
      <c r="U40" s="23">
        <f t="shared" si="15"/>
        <v>6.8107534043938822E-14</v>
      </c>
      <c r="V40" s="23">
        <f t="shared" si="16"/>
        <v>-3.8681305879716134E-14</v>
      </c>
      <c r="W40" s="23">
        <f t="shared" si="17"/>
        <v>-0.66246499170401429</v>
      </c>
      <c r="X40" s="23">
        <f t="shared" si="18"/>
        <v>1.3155182820875178E-14</v>
      </c>
      <c r="Y40" s="26">
        <f t="shared" si="19"/>
        <v>-0.66246499170397199</v>
      </c>
    </row>
    <row r="42" spans="1:25" x14ac:dyDescent="0.25">
      <c r="H42" s="30">
        <f>COS(RADIANS(A40))</f>
        <v>-1</v>
      </c>
    </row>
    <row r="43" spans="1:25" x14ac:dyDescent="0.25">
      <c r="H43">
        <f>TAN(RADIANS(40))</f>
        <v>0.83909963117727993</v>
      </c>
    </row>
  </sheetData>
  <phoneticPr fontId="1" type="noConversion"/>
  <pageMargins left="0.7" right="0.7" top="0.75" bottom="0.75" header="0.3" footer="0.3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Sheet1</vt:lpstr>
      <vt:lpstr>Sheet2</vt:lpstr>
      <vt:lpstr>Sheet3</vt:lpstr>
      <vt:lpstr>Sheet4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HurryWang</dc:creator>
  <cp:lastModifiedBy>唔ang王</cp:lastModifiedBy>
  <dcterms:created xsi:type="dcterms:W3CDTF">2015-06-05T18:19:34Z</dcterms:created>
  <dcterms:modified xsi:type="dcterms:W3CDTF">2026-05-24T08:42:49Z</dcterms:modified>
</cp:coreProperties>
</file>